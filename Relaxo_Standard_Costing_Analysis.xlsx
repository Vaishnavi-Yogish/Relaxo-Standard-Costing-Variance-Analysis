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FI - FMVA\"/>
    </mc:Choice>
  </mc:AlternateContent>
  <xr:revisionPtr revIDLastSave="0" documentId="13_ncr:1_{51E40914-33D1-434B-ABE8-2DCCDD58C289}" xr6:coauthVersionLast="47" xr6:coauthVersionMax="47" xr10:uidLastSave="{00000000-0000-0000-0000-000000000000}"/>
  <bookViews>
    <workbookView xWindow="-108" yWindow="-108" windowWidth="23256" windowHeight="12456" xr2:uid="{9514B3F4-57CF-4D34-B618-12CFADB2F7E0}"/>
  </bookViews>
  <sheets>
    <sheet name="01_Overview_&amp;_Scope" sheetId="2" r:id="rId1"/>
    <sheet name="02_Assumptions" sheetId="3" r:id="rId2"/>
    <sheet name="03_Standard_Cost" sheetId="5" r:id="rId3"/>
    <sheet name="04_Actual_Production_&amp;_Costs" sheetId="6" r:id="rId4"/>
    <sheet name="05_Variance_Analysis" sheetId="7" r:id="rId5"/>
    <sheet name="06_Reconciliation_&amp;_Controls" sheetId="8" r:id="rId6"/>
    <sheet name="07_Management_Dashboard" sheetId="9" r:id="rId7"/>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7" i="7" l="1"/>
  <c r="E21" i="7"/>
  <c r="C13" i="9" s="1"/>
  <c r="H14" i="5" l="1"/>
  <c r="D21" i="7" s="1"/>
  <c r="F21" i="7" s="1"/>
  <c r="G9" i="6"/>
  <c r="G12" i="6"/>
  <c r="G15" i="6" s="1"/>
  <c r="I11" i="6"/>
  <c r="E14" i="7" s="1"/>
  <c r="I10" i="6"/>
  <c r="I8" i="6"/>
  <c r="E7" i="7" s="1"/>
  <c r="I7" i="6"/>
  <c r="F4" i="6"/>
  <c r="C4" i="6"/>
  <c r="F13" i="5"/>
  <c r="E14" i="6" s="1"/>
  <c r="F10" i="5"/>
  <c r="E11" i="6" s="1"/>
  <c r="D14" i="7" s="1"/>
  <c r="D10" i="5"/>
  <c r="F9" i="5"/>
  <c r="E10" i="6" s="1"/>
  <c r="D13" i="7" s="1"/>
  <c r="D9" i="5"/>
  <c r="F7" i="5"/>
  <c r="E8" i="6" s="1"/>
  <c r="D7" i="7" s="1"/>
  <c r="D7" i="5"/>
  <c r="C3" i="5"/>
  <c r="F6" i="5"/>
  <c r="E7" i="6" s="1"/>
  <c r="D6" i="7" s="1"/>
  <c r="D6" i="5"/>
  <c r="E13" i="3"/>
  <c r="I12" i="6" l="1"/>
  <c r="H12" i="6" s="1"/>
  <c r="E13" i="7"/>
  <c r="E15" i="7" s="1"/>
  <c r="C11" i="9" s="1"/>
  <c r="H11" i="9" s="1"/>
  <c r="E6" i="5"/>
  <c r="H6" i="5" s="1"/>
  <c r="F7" i="7"/>
  <c r="D8" i="8" s="1"/>
  <c r="F8" i="8" s="1"/>
  <c r="F14" i="7"/>
  <c r="D11" i="8" s="1"/>
  <c r="F11" i="8" s="1"/>
  <c r="I9" i="6"/>
  <c r="E6" i="7"/>
  <c r="E8" i="7" s="1"/>
  <c r="C10" i="9" s="1"/>
  <c r="H10" i="9" s="1"/>
  <c r="H15" i="6"/>
  <c r="E27" i="7"/>
  <c r="E9" i="5"/>
  <c r="E7" i="5"/>
  <c r="H7" i="5" s="1"/>
  <c r="H13" i="9"/>
  <c r="D13" i="9"/>
  <c r="D16" i="8"/>
  <c r="E10" i="5"/>
  <c r="H10" i="5" s="1"/>
  <c r="D15" i="7"/>
  <c r="D8" i="7"/>
  <c r="G7" i="5"/>
  <c r="G14" i="6"/>
  <c r="I14" i="6" s="1"/>
  <c r="G16" i="6"/>
  <c r="I4" i="6"/>
  <c r="D8" i="6"/>
  <c r="F8" i="6" s="1"/>
  <c r="C7" i="7" s="1"/>
  <c r="G7" i="7" s="1"/>
  <c r="D9" i="8" s="1"/>
  <c r="D10" i="6"/>
  <c r="G10" i="5"/>
  <c r="D11" i="6"/>
  <c r="F11" i="6" s="1"/>
  <c r="C14" i="7" s="1"/>
  <c r="G14" i="7" s="1"/>
  <c r="D7" i="6"/>
  <c r="G6" i="5"/>
  <c r="G9" i="5"/>
  <c r="D8" i="5"/>
  <c r="D11" i="5"/>
  <c r="F13" i="7" l="1"/>
  <c r="D10" i="8" s="1"/>
  <c r="H10" i="8" s="1"/>
  <c r="H8" i="8"/>
  <c r="H11" i="8"/>
  <c r="H8" i="5"/>
  <c r="F6" i="7"/>
  <c r="D6" i="8" s="1"/>
  <c r="F6" i="8" s="1"/>
  <c r="E11" i="5"/>
  <c r="C35" i="9"/>
  <c r="D35" i="9" s="1"/>
  <c r="H9" i="5"/>
  <c r="H11" i="5" s="1"/>
  <c r="I16" i="6"/>
  <c r="H16" i="6" s="1"/>
  <c r="E20" i="7"/>
  <c r="I13" i="6"/>
  <c r="H9" i="6"/>
  <c r="D20" i="7"/>
  <c r="G8" i="5"/>
  <c r="E8" i="5"/>
  <c r="H14" i="7"/>
  <c r="I14" i="7" s="1"/>
  <c r="D13" i="8"/>
  <c r="H9" i="8"/>
  <c r="F9" i="8"/>
  <c r="F16" i="8"/>
  <c r="H16" i="8"/>
  <c r="H7" i="7"/>
  <c r="I7" i="7" s="1"/>
  <c r="F7" i="6"/>
  <c r="D9" i="6"/>
  <c r="D12" i="6"/>
  <c r="F10" i="6"/>
  <c r="G11" i="5"/>
  <c r="D14" i="5"/>
  <c r="E14" i="5" s="1"/>
  <c r="D13" i="5"/>
  <c r="E13" i="5" s="1"/>
  <c r="H13" i="5" s="1"/>
  <c r="F8" i="5" l="1"/>
  <c r="F15" i="7"/>
  <c r="D11" i="9" s="1"/>
  <c r="F10" i="8"/>
  <c r="H6" i="8"/>
  <c r="F8" i="7"/>
  <c r="D10" i="9" s="1"/>
  <c r="I18" i="6"/>
  <c r="E20" i="8" s="1"/>
  <c r="F20" i="8" s="1"/>
  <c r="F11" i="5"/>
  <c r="I17" i="6"/>
  <c r="E22" i="7"/>
  <c r="C12" i="9"/>
  <c r="F20" i="7"/>
  <c r="D22" i="7"/>
  <c r="H13" i="8"/>
  <c r="C39" i="9"/>
  <c r="D39" i="9" s="1"/>
  <c r="F13" i="8"/>
  <c r="F12" i="6"/>
  <c r="E12" i="6" s="1"/>
  <c r="C13" i="7"/>
  <c r="F9" i="6"/>
  <c r="E9" i="6" s="1"/>
  <c r="C6" i="7"/>
  <c r="E15" i="5"/>
  <c r="F14" i="5"/>
  <c r="F27" i="7" s="1"/>
  <c r="G13" i="5"/>
  <c r="G12" i="5"/>
  <c r="D15" i="6"/>
  <c r="C27" i="7" s="1"/>
  <c r="D14" i="6"/>
  <c r="F14" i="6" s="1"/>
  <c r="D16" i="6"/>
  <c r="H12" i="5"/>
  <c r="D15" i="5"/>
  <c r="C35" i="8" l="1"/>
  <c r="C4" i="9"/>
  <c r="H12" i="9"/>
  <c r="H14" i="9" s="1"/>
  <c r="C14" i="9"/>
  <c r="F22" i="7"/>
  <c r="D14" i="8"/>
  <c r="D12" i="9"/>
  <c r="D14" i="9" s="1"/>
  <c r="G27" i="7"/>
  <c r="H27" i="7" s="1"/>
  <c r="I27" i="7" s="1"/>
  <c r="F13" i="6"/>
  <c r="F17" i="6" s="1"/>
  <c r="C20" i="7"/>
  <c r="B12" i="9" s="1"/>
  <c r="G6" i="7"/>
  <c r="D7" i="8" s="1"/>
  <c r="C8" i="7"/>
  <c r="B10" i="9" s="1"/>
  <c r="C15" i="7"/>
  <c r="B11" i="9" s="1"/>
  <c r="G13" i="7"/>
  <c r="D12" i="8" s="1"/>
  <c r="G16" i="5"/>
  <c r="H16" i="5"/>
  <c r="F14" i="8" l="1"/>
  <c r="H14" i="8"/>
  <c r="F12" i="8"/>
  <c r="H12" i="8"/>
  <c r="F12" i="9"/>
  <c r="G12" i="9"/>
  <c r="G11" i="9"/>
  <c r="F11" i="9"/>
  <c r="F10" i="9"/>
  <c r="G10" i="9"/>
  <c r="H7" i="8"/>
  <c r="C37" i="9"/>
  <c r="D37" i="9" s="1"/>
  <c r="F7" i="8"/>
  <c r="G8" i="7"/>
  <c r="E10" i="9" s="1"/>
  <c r="H6" i="7"/>
  <c r="G15" i="7"/>
  <c r="E11" i="9" s="1"/>
  <c r="H13" i="7"/>
  <c r="G20" i="7"/>
  <c r="D18" i="3"/>
  <c r="C18" i="3"/>
  <c r="D17" i="3"/>
  <c r="C17" i="3"/>
  <c r="D16" i="3"/>
  <c r="C16" i="3"/>
  <c r="D15" i="3"/>
  <c r="C15" i="3"/>
  <c r="D14" i="3"/>
  <c r="C14" i="3"/>
  <c r="E8" i="3"/>
  <c r="E9" i="3"/>
  <c r="E10" i="3"/>
  <c r="E11" i="3"/>
  <c r="E12" i="3"/>
  <c r="E7" i="3"/>
  <c r="E6" i="3"/>
  <c r="E5" i="3"/>
  <c r="E4" i="3"/>
  <c r="D15" i="8" l="1"/>
  <c r="E12" i="9"/>
  <c r="H20" i="7"/>
  <c r="D28" i="8" s="1"/>
  <c r="H28" i="8" s="1"/>
  <c r="H15" i="7"/>
  <c r="I13" i="7"/>
  <c r="H8" i="7"/>
  <c r="I6" i="7"/>
  <c r="E14" i="3"/>
  <c r="E17" i="3"/>
  <c r="E18" i="3"/>
  <c r="E15" i="3"/>
  <c r="E16" i="3"/>
  <c r="I8" i="7" l="1"/>
  <c r="D26" i="8"/>
  <c r="H26" i="8" s="1"/>
  <c r="I15" i="7"/>
  <c r="D27" i="8"/>
  <c r="H27" i="8" s="1"/>
  <c r="H15" i="8"/>
  <c r="C43" i="9"/>
  <c r="D43" i="9" s="1"/>
  <c r="F15" i="8"/>
  <c r="I20" i="7"/>
  <c r="E15" i="6" l="1"/>
  <c r="G14" i="5"/>
  <c r="H15" i="5"/>
  <c r="F15" i="5" s="1"/>
  <c r="F15" i="6" l="1"/>
  <c r="C21" i="7" s="1"/>
  <c r="B13" i="9" s="1"/>
  <c r="H17" i="5"/>
  <c r="G15" i="5"/>
  <c r="F16" i="6" l="1"/>
  <c r="F18" i="6" s="1"/>
  <c r="E5" i="8" s="1"/>
  <c r="G5" i="8" s="1"/>
  <c r="G13" i="9"/>
  <c r="G14" i="9" s="1"/>
  <c r="F13" i="9"/>
  <c r="F14" i="9" s="1"/>
  <c r="B14" i="9"/>
  <c r="G21" i="7"/>
  <c r="C22" i="7"/>
  <c r="G17" i="5"/>
  <c r="I15" i="5" s="1"/>
  <c r="E16" i="6" l="1"/>
  <c r="G6" i="8"/>
  <c r="G15" i="8"/>
  <c r="G9" i="8"/>
  <c r="G7" i="8"/>
  <c r="G10" i="8"/>
  <c r="G12" i="8"/>
  <c r="G20" i="8"/>
  <c r="G14" i="8"/>
  <c r="G8" i="8"/>
  <c r="G11" i="8"/>
  <c r="F5" i="8"/>
  <c r="G13" i="8"/>
  <c r="G16" i="8"/>
  <c r="A4" i="9"/>
  <c r="E6" i="8"/>
  <c r="E7" i="8" s="1"/>
  <c r="E8" i="8" s="1"/>
  <c r="E9" i="8" s="1"/>
  <c r="E10" i="8" s="1"/>
  <c r="E11" i="8" s="1"/>
  <c r="E12" i="8" s="1"/>
  <c r="E13" i="8" s="1"/>
  <c r="E14" i="8" s="1"/>
  <c r="E15" i="8" s="1"/>
  <c r="E16" i="8" s="1"/>
  <c r="G21" i="8"/>
  <c r="C34" i="8"/>
  <c r="C36" i="8" s="1"/>
  <c r="E13" i="9"/>
  <c r="E14" i="9" s="1"/>
  <c r="D17" i="8"/>
  <c r="D29" i="8"/>
  <c r="H29" i="8" s="1"/>
  <c r="H21" i="7"/>
  <c r="G22" i="7"/>
  <c r="I7" i="5"/>
  <c r="I11" i="5"/>
  <c r="I16" i="5"/>
  <c r="I8" i="5"/>
  <c r="I12" i="5"/>
  <c r="I13" i="5"/>
  <c r="I17" i="5"/>
  <c r="I6" i="5"/>
  <c r="I10" i="5"/>
  <c r="I9" i="5"/>
  <c r="I14" i="5"/>
  <c r="E17" i="8" l="1"/>
  <c r="E18" i="8" s="1"/>
  <c r="H17" i="8"/>
  <c r="C41" i="9"/>
  <c r="D41" i="9" s="1"/>
  <c r="F17" i="8"/>
  <c r="G17" i="8"/>
  <c r="D18" i="8"/>
  <c r="I21" i="7"/>
  <c r="H22" i="7"/>
  <c r="I22" i="7" s="1"/>
  <c r="G18" i="8" l="1"/>
  <c r="C37" i="8"/>
  <c r="C38" i="8" s="1"/>
  <c r="E4" i="9"/>
  <c r="F18" i="8"/>
  <c r="H18" i="8"/>
  <c r="E19" i="8"/>
  <c r="F19" i="8" l="1"/>
  <c r="G19" i="8"/>
  <c r="E21" i="8"/>
  <c r="D30" i="8" l="1"/>
  <c r="H30" i="8" s="1"/>
  <c r="F21" i="8"/>
  <c r="H21" i="8"/>
  <c r="G4" i="9" s="1"/>
</calcChain>
</file>

<file path=xl/sharedStrings.xml><?xml version="1.0" encoding="utf-8"?>
<sst xmlns="http://schemas.openxmlformats.org/spreadsheetml/2006/main" count="445" uniqueCount="350">
  <si>
    <t>Financial/Operational Metric</t>
  </si>
  <si>
    <t>Unit</t>
  </si>
  <si>
    <t>FY25</t>
  </si>
  <si>
    <t>FY26</t>
  </si>
  <si>
    <t>YOY Change %</t>
  </si>
  <si>
    <t>Number of Pairs sold</t>
  </si>
  <si>
    <t>Cr Pairs</t>
  </si>
  <si>
    <t>₹/pair</t>
  </si>
  <si>
    <t>Average Realization per pair</t>
  </si>
  <si>
    <t>Revenue from Operations</t>
  </si>
  <si>
    <t>₹  Crore</t>
  </si>
  <si>
    <t>Cost of Materials Consumed (incl. Packing)</t>
  </si>
  <si>
    <t>Purchases of Stock-in-Trade</t>
  </si>
  <si>
    <t>Changes in Inventories of FG, SIT &amp; WIP</t>
  </si>
  <si>
    <t>Employee Benefits Expense</t>
  </si>
  <si>
    <t>Depreciation &amp; Amortisation Expense</t>
  </si>
  <si>
    <t>Other Expenses (Factory OH + SG&amp;A)</t>
  </si>
  <si>
    <t>Gross Revenue per Pair sold</t>
  </si>
  <si>
    <t>Material &amp; Packing Cost per Pair</t>
  </si>
  <si>
    <t>Material Cost as % of Revenue</t>
  </si>
  <si>
    <t>Employee Cost per Pair Sold</t>
  </si>
  <si>
    <t>Depreciation per Pair Sold</t>
  </si>
  <si>
    <t>%</t>
  </si>
  <si>
    <t>Standard Cost Parameter / Input Variable</t>
  </si>
  <si>
    <t>Proposed Value</t>
  </si>
  <si>
    <t>Data Classification</t>
  </si>
  <si>
    <t>Code</t>
  </si>
  <si>
    <t>STD_VOL</t>
  </si>
  <si>
    <t>ACT_VOL</t>
  </si>
  <si>
    <t>DM1_QTY</t>
  </si>
  <si>
    <t>DM1_PRC</t>
  </si>
  <si>
    <t>DM2_QTY</t>
  </si>
  <si>
    <t>DM2_PRC</t>
  </si>
  <si>
    <t>DL1_HRS</t>
  </si>
  <si>
    <t>DL1_RTE</t>
  </si>
  <si>
    <t>DL2_HRS</t>
  </si>
  <si>
    <t>DL2_RTE</t>
  </si>
  <si>
    <t>VMOH_RATE</t>
  </si>
  <si>
    <t>FMOH_BUD</t>
  </si>
  <si>
    <t>Budgeted / Normal Monthly Production Output</t>
  </si>
  <si>
    <t>DL-1: Skilled Compounding &amp; Moulding — Std Hours</t>
  </si>
  <si>
    <t>DL-2: Semi-Skilled Trimming, Strap &amp; Packing — Std Hours</t>
  </si>
  <si>
    <t>DL-2: Semi-Skilled Assembly Worker — Std Wage Rate</t>
  </si>
  <si>
    <t>VMOH: Factory Power &amp; Utilities Rate per DLH</t>
  </si>
  <si>
    <t>FMOH: Budgeted Monthly Fixed Manufacturing Overhead</t>
  </si>
  <si>
    <t>Pairs / Month</t>
  </si>
  <si>
    <t>Model Assumption</t>
  </si>
  <si>
    <t>24 working days × 4,000 pairs/day = 96,000 pairs (96% capacity utilization) due to 1 day of unplanned mould-heater downtime.</t>
  </si>
  <si>
    <t xml:space="preserve">Actual Monthly Production Output </t>
  </si>
  <si>
    <t>kg / Pair</t>
  </si>
  <si>
    <t>₹ / kg</t>
  </si>
  <si>
    <t>Hours / Pair</t>
  </si>
  <si>
    <t>₹ / Hour</t>
  </si>
  <si>
    <t>₹ / DLH</t>
  </si>
  <si>
    <t>₹ / Month</t>
  </si>
  <si>
    <t>Commodity Benchmark</t>
  </si>
  <si>
    <t>Wage Benchmark</t>
  </si>
  <si>
    <t>EBITDA</t>
  </si>
  <si>
    <t>DM-1: EVA Compound — Std Qty</t>
  </si>
  <si>
    <t>DM-1: EVA Compound — Std Price</t>
  </si>
  <si>
    <t>DM-2:Natural/synthetic rubber compound — Std Qty</t>
  </si>
  <si>
    <t>DM-2: Natural/synthetic rubber compound — Std Price</t>
  </si>
  <si>
    <t>4,000 pairs/day × 25 working days. Used as the normal output for the selected production line.</t>
  </si>
  <si>
    <t>Assumed EVA material required to produce one finished pair, including normal production loss.</t>
  </si>
  <si>
    <t>Assumed expected purchase price for EVA compound during the period.</t>
  </si>
  <si>
    <t>Assumed rubber compound required to produce one finished pair, including normal production loss.</t>
  </si>
  <si>
    <t>Assumed expected purchase price for the rubber compound during the period.</t>
  </si>
  <si>
    <t>Assumed hourly rate for skilled production labour.</t>
  </si>
  <si>
    <t>Fixed factory costs such as depreciation, maintenance and factory supervision.</t>
  </si>
  <si>
    <t>Simple Basis/ Reason</t>
  </si>
  <si>
    <t>Cost Code</t>
  </si>
  <si>
    <t>Input Unit</t>
  </si>
  <si>
    <t>Standard Qty / Hrs per Pair (SQ / SH)</t>
  </si>
  <si>
    <t>Standard Price / Rate per Unit (SP / SR)</t>
  </si>
  <si>
    <t>Standard Cost per Pair (₹ / Pair)</t>
  </si>
  <si>
    <t>% Share of Standard Factory Cost</t>
  </si>
  <si>
    <t>DM-1</t>
  </si>
  <si>
    <t>DM-2</t>
  </si>
  <si>
    <t>TOT-DM</t>
  </si>
  <si>
    <t>DL-1</t>
  </si>
  <si>
    <t>DL-2</t>
  </si>
  <si>
    <t>TOT-DL</t>
  </si>
  <si>
    <t>PRIME</t>
  </si>
  <si>
    <t>VMOH</t>
  </si>
  <si>
    <t>FMOH</t>
  </si>
  <si>
    <t>TOT-MOH</t>
  </si>
  <si>
    <t>VAR-COST</t>
  </si>
  <si>
    <t>STD-TOT</t>
  </si>
  <si>
    <t>EVA Compound</t>
  </si>
  <si>
    <t>Natural/synthetic rubber compound</t>
  </si>
  <si>
    <t>Skilled Compounding &amp; Moulding Machine Operators</t>
  </si>
  <si>
    <t>Semi-Skilled Trimming, Strap Assembly &amp; Packing Workers</t>
  </si>
  <si>
    <t>DL-1: Skilled Compounding &amp; Moulding Operator — Std Wage Rate</t>
  </si>
  <si>
    <t>Total Standard Direct Labour Cost (B)</t>
  </si>
  <si>
    <t>Total Standard Direct Material Cost (A)</t>
  </si>
  <si>
    <t>Standard Prime Cost per Pair (A + B)</t>
  </si>
  <si>
    <t>Variable Manufacturing Overhead (Factory Power &amp; Moulding Utilities)</t>
  </si>
  <si>
    <t>Fixed Manufacturing Overhead (Press/Mould Depr, Demand Charge &amp; Supervision)</t>
  </si>
  <si>
    <t>Total Standard Manufacturing Overhead (C = VMOH + FMOH)</t>
  </si>
  <si>
    <t>Standard Variable / Marginal Factory Cost per Pair (DM + DL + VMOH)</t>
  </si>
  <si>
    <t>TOTAL STANDARD FACTORY COST OF PRODUCTION (A + B + C)</t>
  </si>
  <si>
    <t xml:space="preserve">Cost Element </t>
  </si>
  <si>
    <t>Monthly Standard Cost (1,00,000 Pairs) (₹)</t>
  </si>
  <si>
    <t>Kg</t>
  </si>
  <si>
    <t>DLH</t>
  </si>
  <si>
    <t>Pair</t>
  </si>
  <si>
    <t xml:space="preserve">Normal Monthly Capacity (Pairs): </t>
  </si>
  <si>
    <t>Actual Output Produced (Pairs):</t>
  </si>
  <si>
    <t>Capacity Utilization</t>
  </si>
  <si>
    <t>Standard Price / Rate (SP / SR) (₹)</t>
  </si>
  <si>
    <t>Actual Price / Rate Paid (AP / AR) (₹)</t>
  </si>
  <si>
    <t>Cost Element</t>
  </si>
  <si>
    <t>MONTHLY STANDARD COST ALLOWED (FOR 96,000 PAIRS) VS. ACTUAL PRODUCTION COSTS</t>
  </si>
  <si>
    <t>Actual Qty / Hrs (AQ / AH)</t>
  </si>
  <si>
    <t>Actual Total Cost (₹)</t>
  </si>
  <si>
    <t>Total Direct Material Cost (A)</t>
  </si>
  <si>
    <t>Total Direct Labour Cost (B)</t>
  </si>
  <si>
    <t>Prime Cost per Pair (A + B)</t>
  </si>
  <si>
    <t>Total Manufacturing Overhead (C = VMOH + FMOH)</t>
  </si>
  <si>
    <t>Total Variable Manufacturing Cost (DM + DL + VMOH)</t>
  </si>
  <si>
    <t>TOTAL MANUFACTURING COST OF ACTUAL OUTPUT (A + B + C)</t>
  </si>
  <si>
    <t>ACT-TOT</t>
  </si>
  <si>
    <t>Standard Qty / Hrs for 100000 Pairs (SQ / SH)</t>
  </si>
  <si>
    <t>Positive variance = Favourable (F); Negative variance = Adverse (A). All amounts relate to 96,000 pairs.</t>
  </si>
  <si>
    <t>1. DIRECT MATERIAL PRICE, USAGE &amp; TOTAL COST VARIANCES</t>
  </si>
  <si>
    <t>Direct Material Category</t>
  </si>
  <si>
    <t>Actual Qty @ Std Price (AQ × SP) (₹)</t>
  </si>
  <si>
    <t>Actual Cost (AQ × AP) (₹)</t>
  </si>
  <si>
    <t>Material Price Variance (MPV) = (SP - AP) × AQ</t>
  </si>
  <si>
    <t>Material Usage Variance (MUV) = (SQ - AQ) × SP</t>
  </si>
  <si>
    <t>Total Material Variance (MCV) = MPV + MUV</t>
  </si>
  <si>
    <t>Direction (F / A)</t>
  </si>
  <si>
    <t>Std Cost (SQ × SP) (₹)</t>
  </si>
  <si>
    <t>Total Direct Material Cost Variances</t>
  </si>
  <si>
    <t>Standard Cost Absorbed (₹)</t>
  </si>
  <si>
    <t>Std Qty / Hrs Allowed for Actual production (SQ / SH)</t>
  </si>
  <si>
    <t>Direct Labour Grade</t>
  </si>
  <si>
    <t>Actual Hrs @ Std Rate (AH × SR) (₹)</t>
  </si>
  <si>
    <t>Actual Labour Cost (AH × AR) (₹)</t>
  </si>
  <si>
    <t>Labour Rate Variance (LRV) = (SR - AR) × AH</t>
  </si>
  <si>
    <t>Labour Efficiency Variance (LEV) = (SH - AH) × SR</t>
  </si>
  <si>
    <t>Total Labour Variance (LCV) = LRV + LEV</t>
  </si>
  <si>
    <t>2. DIRECT LABOUR RATE, EFFICIENCY &amp; TOTAL LABOUR VARIANCES</t>
  </si>
  <si>
    <t>Total Direct Labour Cost Variances</t>
  </si>
  <si>
    <t>Std Cost (SH × SR) (₹)</t>
  </si>
  <si>
    <t>Manufacturing Overhead Pool</t>
  </si>
  <si>
    <t>Absorbed Std OH (SH × SR) (₹)</t>
  </si>
  <si>
    <t>Actual OH Incurred (₹)</t>
  </si>
  <si>
    <t>OH Expenditure Variance (VOEV / FOEV)</t>
  </si>
  <si>
    <t>Total Overhead Cost Variance</t>
  </si>
  <si>
    <t>3. VARIABLE &amp; FIXED MANUFACTURING OVERHEAD VARIANCES</t>
  </si>
  <si>
    <t>Budgeted Benchmark (₹)</t>
  </si>
  <si>
    <t>Variable overhead — power &amp; utilities</t>
  </si>
  <si>
    <t>Fixed overhead — depreciation, demand charges &amp; supervision</t>
  </si>
  <si>
    <t>Total Manufacturing Overhead Variances</t>
  </si>
  <si>
    <t>Sub-Variance Code</t>
  </si>
  <si>
    <t>FMOH Volume Sub-Component</t>
  </si>
  <si>
    <t>Absorbed Hours (SH = 11,520)</t>
  </si>
  <si>
    <t>Actual Hours (AH = 12,060)</t>
  </si>
  <si>
    <t>Budgeted Hours (BH = 12,000)</t>
  </si>
  <si>
    <t>FMOH Capacity Variance = (AH - BH) × SR</t>
  </si>
  <si>
    <t>FMOH Efficiency Variance = (SH - AH) × SR</t>
  </si>
  <si>
    <t>Total FMOH Volume Variance = Cap + Eff</t>
  </si>
  <si>
    <t>4. FIXED OVERHEAD VOLUME VARIANCE DECOMPOSITION (CAPACITY vs. EFFICIENCY)</t>
  </si>
  <si>
    <t>FMOH-VOL</t>
  </si>
  <si>
    <t>Fixed Overhead Volume Breakdown (@ ₹55.00 / Standard DLH)</t>
  </si>
  <si>
    <t>Standard Direct Labour Hours / Pair:</t>
  </si>
  <si>
    <t>Budgeted Monthly DLH:</t>
  </si>
  <si>
    <t>1. STANDARD-TO-ACTUAL COST RECONCILIATION (96,000 PAIRS)</t>
  </si>
  <si>
    <t>Variance / Reconciliation Line</t>
  </si>
  <si>
    <t>Category</t>
  </si>
  <si>
    <t>Variance: Favourable (+) / Adverse (-) (₹)</t>
  </si>
  <si>
    <t>Cost after adjustment (₹)</t>
  </si>
  <si>
    <t>Impact per pair (₹)</t>
  </si>
  <si>
    <t>Status</t>
  </si>
  <si>
    <t>Standard cost</t>
  </si>
  <si>
    <t>Standard cost for actual output</t>
  </si>
  <si>
    <t>Direct Material Price Variance — EVA Compound</t>
  </si>
  <si>
    <t>Direct Material Price Variance — Natural/synthetic rubber compound</t>
  </si>
  <si>
    <t>Direct Material Usage Variance — EVA Compound</t>
  </si>
  <si>
    <t>Direct Material Usage Variance — Natural/synthetic rubber compound</t>
  </si>
  <si>
    <t>Direct Labour Rate Variance — Skilled Moulding Operators</t>
  </si>
  <si>
    <t>Direct Labour Rate Variance — Semi-Skilled Assembly Workers</t>
  </si>
  <si>
    <t>Direct Labour Efficiency Variance — Skilled Moulding Operators</t>
  </si>
  <si>
    <t>Direct Labour Efficiency Variance — Semi-Skilled Assembly Workers</t>
  </si>
  <si>
    <t>Variable Overhead Expenditure Variance — Power &amp; Utilities Rate</t>
  </si>
  <si>
    <t>Variable Overhead Volume Variance — Power &amp; Utilities Rate</t>
  </si>
  <si>
    <t>Fixed Overhead Expenditure Variance — depreciation, demand charges &amp; supervision</t>
  </si>
  <si>
    <t>Fixed Overhead Volume Variance — depreciation, demand charges &amp; supervision</t>
  </si>
  <si>
    <t>RECONCILED ACTUAL MANUFACTURING COST (STD COST - NET VARIANCE)</t>
  </si>
  <si>
    <t>ACTUAL COST PER ACTUAL COST SHEET (04_Actual_Production_&amp;_Costs)</t>
  </si>
  <si>
    <t>UNEXPLAINED RECONCILIATION DIFFERENCE (MUST EQUAL ₹0.00)</t>
  </si>
  <si>
    <t>Direct material</t>
  </si>
  <si>
    <t>Direct labour</t>
  </si>
  <si>
    <t>Variable overhead</t>
  </si>
  <si>
    <t>Fixed overhead</t>
  </si>
  <si>
    <t>Total variance</t>
  </si>
  <si>
    <t>Reconciled cost</t>
  </si>
  <si>
    <t>Actual cost</t>
  </si>
  <si>
    <t>Control</t>
  </si>
  <si>
    <t>TOTAL NET MANUFACTURING COST VARIANCE (SUM OF ALL VARIANCES)</t>
  </si>
  <si>
    <t>MPV-DM1</t>
  </si>
  <si>
    <t>MUV-DM1</t>
  </si>
  <si>
    <t>MPV-DM2</t>
  </si>
  <si>
    <t>MUV-DM2</t>
  </si>
  <si>
    <t>LRV-DL1</t>
  </si>
  <si>
    <t>LEV-DL1</t>
  </si>
  <si>
    <t>LRV-DL2</t>
  </si>
  <si>
    <t>LEV-DL2</t>
  </si>
  <si>
    <t>VOEV</t>
  </si>
  <si>
    <t>FOEV</t>
  </si>
  <si>
    <t>FOVV</t>
  </si>
  <si>
    <t>NET-VAR</t>
  </si>
  <si>
    <t>ACT-REC</t>
  </si>
  <si>
    <t>DIFF-CHK</t>
  </si>
  <si>
    <t>Reconciled</t>
  </si>
  <si>
    <t>Source total</t>
  </si>
  <si>
    <t>ACT-COST</t>
  </si>
  <si>
    <t>STD-COST</t>
  </si>
  <si>
    <t>Control ID</t>
  </si>
  <si>
    <t>Expected Difference</t>
  </si>
  <si>
    <t>Calculated Difference (₹)</t>
  </si>
  <si>
    <t>Control Formula Logic</t>
  </si>
  <si>
    <t>Audit Verdict</t>
  </si>
  <si>
    <t>2. AUTOMATED MODEL CHECKS</t>
  </si>
  <si>
    <t>Audit Control Description</t>
  </si>
  <si>
    <t>CHK-01</t>
  </si>
  <si>
    <t>CHK-02</t>
  </si>
  <si>
    <t>CHK-03</t>
  </si>
  <si>
    <t>CHK-04</t>
  </si>
  <si>
    <t>CHK-05</t>
  </si>
  <si>
    <t>Material Price + Usage = Total Material Variance</t>
  </si>
  <si>
    <t>Labour Rate + Efficiency = Total Labour Variance</t>
  </si>
  <si>
    <t>Variable OH Expenditure + Volume = Total VMOH Variance</t>
  </si>
  <si>
    <t>Fixed OH Expenditure + Volume = Total FMOH Variance</t>
  </si>
  <si>
    <t>Grand Total Cost Reconciliation (Std Cost - All Variances = Actual Cost)</t>
  </si>
  <si>
    <t>(MPV + MUV) - (Std DM - Actual DM)</t>
  </si>
  <si>
    <t>(LRV + LEV) - (Std DL - Actual DL)</t>
  </si>
  <si>
    <t>(VOEV + VOVV) - (Absorbed VMOH - Actual VMOH)</t>
  </si>
  <si>
    <t>(FMOH Cap + FMOH Eff) - FMOH Volume Variance</t>
  </si>
  <si>
    <t>Reconciled Actual Cost (E20) - Ledger Actual Cost (E21)</t>
  </si>
  <si>
    <t>Visual KPI Scorecard, Variance Bridge, Per-Pair Cost Breakdown &amp; Corrective Actions</t>
  </si>
  <si>
    <t>ACTUAL FACTORY COST (96,000 PAIRS)</t>
  </si>
  <si>
    <t>TOTAL NET COST VARIANCE (ADVERSE)</t>
  </si>
  <si>
    <t>RECONCILIATION &amp; CONTROL STATUS</t>
  </si>
  <si>
    <t>STANDARD COST (96,000 PAIRS)</t>
  </si>
  <si>
    <t>Standard Cost: ₹63.75 / Pair</t>
  </si>
  <si>
    <t>Actual Cost: ₹66.04 / Pair</t>
  </si>
  <si>
    <t>Net Overrun: -₹2.29 / Pair (-3.59%)</t>
  </si>
  <si>
    <t>5 of 5 Audit Checks Passed (₹0 Diff)</t>
  </si>
  <si>
    <t>1. EXECUTIVE COST &amp; VARIANCE SUMMARY BY COST POOL (96,000 PAIRS PRODUCED)</t>
  </si>
  <si>
    <t>Cost Pool Category</t>
  </si>
  <si>
    <t>Actual Cost Incurred (₹)</t>
  </si>
  <si>
    <t>Usage / Efficiency / Volume Variance (₹)</t>
  </si>
  <si>
    <t>Total Net Variance (₹)</t>
  </si>
  <si>
    <t>Std Cost / Pair (₹)</t>
  </si>
  <si>
    <t>Actual Cost / Pair (₹)</t>
  </si>
  <si>
    <t>Direct Labour (Moulding &amp; Assembly)</t>
  </si>
  <si>
    <t>Variable Manufacturing Overhead (Power)</t>
  </si>
  <si>
    <t>Fixed Manufacturing Overhead (Plant)</t>
  </si>
  <si>
    <t>Total Factory Cost &amp; Variances</t>
  </si>
  <si>
    <t>Standard Cost (₹)</t>
  </si>
  <si>
    <t>Direct Materials (EVA &amp; Rubber)</t>
  </si>
  <si>
    <t xml:space="preserve">Standard Cost	</t>
  </si>
  <si>
    <t xml:space="preserve">Actual Cost	</t>
  </si>
  <si>
    <t xml:space="preserve">Absolute Variance	</t>
  </si>
  <si>
    <t>Reconciliation Status</t>
  </si>
  <si>
    <t>RECONCILIATION CHECK</t>
  </si>
  <si>
    <t>Result (₹)</t>
  </si>
  <si>
    <t>Difference</t>
  </si>
  <si>
    <t>Priority Rank</t>
  </si>
  <si>
    <t>Variance Component</t>
  </si>
  <si>
    <t>Variance Amount (₹)</t>
  </si>
  <si>
    <t>Per-Pair Impact (₹/Pair)</t>
  </si>
  <si>
    <t>2. INTERPRETATION, ROOT-CAUSE RANKING &amp; CORRECTIVE ACTIONS</t>
  </si>
  <si>
    <t>Priority 1</t>
  </si>
  <si>
    <t>Priority 2</t>
  </si>
  <si>
    <t>Priority 3</t>
  </si>
  <si>
    <t>Priority 4</t>
  </si>
  <si>
    <t>Priority 5</t>
  </si>
  <si>
    <t>Rubber Price Variance</t>
  </si>
  <si>
    <t>Semi-Skilled Labour (DL-2) Efficiency Variance</t>
  </si>
  <si>
    <t>EVA usage Variance</t>
  </si>
  <si>
    <t>Fixed Overhead Volume Variance</t>
  </si>
  <si>
    <t>Variable Overhead (Power)Volume Variance</t>
  </si>
  <si>
    <t>Root Cause Identified</t>
  </si>
  <si>
    <t>Recommended Corrective Action</t>
  </si>
  <si>
    <t>Actual price was ₹208/kg vs standard ₹195/kg. The ₹13/kg increase on 8,450 kg resulted in the adverse variance.</t>
  </si>
  <si>
    <t>Standard allowed 21,120 kg; actual usage was 22,050 kg. The extra 930 kg at ₹105/kg caused the variance.</t>
  </si>
  <si>
    <t>Standard allowed 7,680 hours; actual hours were 8,100. The extra 420 hours at ₹95/hour caused the variance.</t>
  </si>
  <si>
    <t>Fixed overhead was absorbed for 11,520 standard hours vs 12,000 budgeted hours. The 480-hour shortfall at ₹55/hour caused the adverse variance</t>
  </si>
  <si>
    <t>Standard allowed 11,520 hours; actual hours were 12,060. The extra 540 hours at ₹37.50/hour caused the variance</t>
  </si>
  <si>
    <t>Compare supplier prices and negotiate better rates.</t>
  </si>
  <si>
    <t>Check material issue and scrap records to find where excess usage occurred.</t>
  </si>
  <si>
    <t>Review production delays and identify ways to reduce avoidable hours.</t>
  </si>
  <si>
    <t>Review the production shortfall and improve production planning where possible.</t>
  </si>
  <si>
    <t>Investigate excess operating hours and reduce avoidable downtime.</t>
  </si>
  <si>
    <t>COST RECONCILIATION STATEMENT &amp; AUDIT CONTROLS</t>
  </si>
  <si>
    <t>ACTUAL PRODUCTION &amp; COST SHEET</t>
  </si>
  <si>
    <t>STANDARD ABSORPTION COST SHEET (PER PAIR &amp; MONTHLY BUDGET)</t>
  </si>
  <si>
    <t>STANDARD COSTING &amp; VARIANCE ANALYSIS</t>
  </si>
  <si>
    <t>Relaxo Footwears Limited | Illustrative footwear manufacturing case study | CMA portfolio project</t>
  </si>
  <si>
    <t>PROJECT PROFILE</t>
  </si>
  <si>
    <t>Company context</t>
  </si>
  <si>
    <t>Relaxo Footwears Limited</t>
  </si>
  <si>
    <t>Industry</t>
  </si>
  <si>
    <t>Footwear manufacturing</t>
  </si>
  <si>
    <t>Product scope</t>
  </si>
  <si>
    <t>Illustrative EVA/rubber-based slipper or sandal product family</t>
  </si>
  <si>
    <t>Analysis period</t>
  </si>
  <si>
    <t>Model type</t>
  </si>
  <si>
    <t>Standard costing and variance analysis case study</t>
  </si>
  <si>
    <t>Planned production</t>
  </si>
  <si>
    <t>100,000 pairs</t>
  </si>
  <si>
    <t>Actual production</t>
  </si>
  <si>
    <t>96,000 pairs</t>
  </si>
  <si>
    <t>PROJECT OBJECTIVE</t>
  </si>
  <si>
    <t>Build a transparent, formula-driven standard costing model for an illustrative footwear product family; compare actual inputs with standards allowed for actual output; quantify key variances; and prioritise practical management investigations.</t>
  </si>
  <si>
    <t>IMPORTANT DATA NOTE</t>
  </si>
  <si>
    <t>Public information is used only for company and industry context. Detailed material specifications, production volumes, standard prices, labour hours/rates and factory overhead figures are illustrative assumptions for learning. They are NOT Relaxo's actual internal production or cost data. This simplified case study is not intended to represent one exact Relaxo SKU.</t>
  </si>
  <si>
    <t>NSE Q4 &amp; FY26 Investor Presentation</t>
  </si>
  <si>
    <t>View Relaxo Annual Report 2026</t>
  </si>
  <si>
    <t>Illustrative monthly production period - 1 Month (25 Operating Days)</t>
  </si>
  <si>
    <t>Variable (Power) &amp; Fixed (Plant)</t>
  </si>
  <si>
    <t>Direct Material Cost Pools</t>
  </si>
  <si>
    <t>Manufacturing Overheads</t>
  </si>
  <si>
    <t>Direct Labour Grades</t>
  </si>
  <si>
    <t>EVA &amp; Natural Rubber</t>
  </si>
  <si>
    <t>WORKBOOK COLOUR-CODING</t>
  </si>
  <si>
    <t xml:space="preserve">Blue Text </t>
  </si>
  <si>
    <t>Black Text</t>
  </si>
  <si>
    <t>Green Text</t>
  </si>
  <si>
    <t>Hardcoded Inputs (Tiers 1, 2 &amp; 3)</t>
  </si>
  <si>
    <t>Same-Sheet Dynamic Formulas</t>
  </si>
  <si>
    <t>Cross-Sheet Formula Links</t>
  </si>
  <si>
    <t>Green Badge / Red Badge</t>
  </si>
  <si>
    <t>Variance Direction &amp; Audit Status</t>
  </si>
  <si>
    <t>Allocation rate based on estimated factory power and utility costs.</t>
  </si>
  <si>
    <t>Assumed direct labour time per pair.</t>
  </si>
  <si>
    <t>4.8 minutes per pair.</t>
  </si>
  <si>
    <t>Assumed semi-skilled production labour rate.</t>
  </si>
  <si>
    <t>Skilled &amp; Semi-Skilled Labour</t>
  </si>
  <si>
    <t>Sources</t>
  </si>
  <si>
    <t>STANDARD ASSUMPTIONS</t>
  </si>
  <si>
    <t>Illustrative Assumptions</t>
  </si>
  <si>
    <t>VARIANCE ANALYSIS — MATERIAL, LABOUR &amp; MANUFACTURING OVERHEAD</t>
  </si>
  <si>
    <t>% of Standard Cost</t>
  </si>
  <si>
    <t>Price / Rate / Variance (₹)</t>
  </si>
  <si>
    <t>OH Efficiency/Volume Variance (VOEfV / FOVV)</t>
  </si>
  <si>
    <t>VOEfV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</si>
</sst>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3" formatCode="_ * #,##0.00_ ;_ * \-#,##0.00_ ;_ * &quot;-&quot;??_ ;_ @_ "/>
    <numFmt numFmtId="164" formatCode="_ * #,##0.0_ ;_ * \-#,##0.0_ ;_ * &quot;-&quot;??_ ;_ @_ "/>
    <numFmt numFmtId="165" formatCode="_ * #,##0_ ;_ * \-#,##0_ ;_ * &quot;-&quot;??_ ;_ @_ "/>
    <numFmt numFmtId="166" formatCode="#,##0.00_ ;\-#,##0.00\ "/>
    <numFmt numFmtId="167" formatCode="\₹#,##0.00;[Red]&quot;(₹&quot;#,##0.00\);\-"/>
    <numFmt numFmtId="168" formatCode="#,##0.00;[Red]#,##0.00"/>
    <numFmt numFmtId="169" formatCode="&quot;+₹&quot;#,##0.00;&quot;-₹&quot;#,##0.00;\₹0.00"/>
    <numFmt numFmtId="170" formatCode="\₹#,##0.00;&quot;(₹&quot;#,##0.00\);\-"/>
    <numFmt numFmtId="171" formatCode="#,##0.0000000;[Red]#,##0.0000000"/>
    <numFmt numFmtId="172" formatCode="\₹#,##0.00"/>
  </numFmts>
  <fonts count="28" x14ac:knownFonts="1">
    <font>
      <sz val="11"/>
      <color theme="1"/>
      <name val="Calibri"/>
      <family val="2"/>
      <scheme val="minor"/>
    </font>
    <font>
      <b/>
      <sz val="11"/>
      <color theme="0"/>
      <name val="Calibri"/>
      <family val="2"/>
      <scheme val="minor"/>
    </font>
    <font>
      <b/>
      <sz val="11"/>
      <color theme="1"/>
      <name val="Calibri"/>
      <family val="2"/>
      <scheme val="minor"/>
    </font>
    <font>
      <sz val="11"/>
      <color rgb="FF0000FF"/>
      <name val="Calibri"/>
      <family val="2"/>
      <scheme val="minor"/>
    </font>
    <font>
      <sz val="11"/>
      <color theme="1"/>
      <name val="Calibri"/>
      <family val="2"/>
      <scheme val="minor"/>
    </font>
    <font>
      <sz val="11"/>
      <color rgb="FF006100"/>
      <name val="Calibri"/>
      <family val="2"/>
      <scheme val="minor"/>
    </font>
    <font>
      <b/>
      <sz val="24"/>
      <color theme="0"/>
      <name val="Calibri"/>
      <family val="2"/>
      <scheme val="minor"/>
    </font>
    <font>
      <sz val="18"/>
      <color theme="1"/>
      <name val="Calibri"/>
      <family val="2"/>
      <scheme val="minor"/>
    </font>
    <font>
      <sz val="11"/>
      <color theme="0"/>
      <name val="Calibri"/>
      <family val="2"/>
      <scheme val="minor"/>
    </font>
    <font>
      <b/>
      <sz val="12"/>
      <color theme="1"/>
      <name val="Calibri"/>
      <family val="2"/>
      <scheme val="minor"/>
    </font>
    <font>
      <sz val="10"/>
      <color theme="1"/>
      <name val="Calibri"/>
      <family val="2"/>
      <scheme val="minor"/>
    </font>
    <font>
      <b/>
      <sz val="15"/>
      <color theme="0"/>
      <name val="Calibri"/>
      <family val="2"/>
      <scheme val="minor"/>
    </font>
    <font>
      <i/>
      <sz val="10"/>
      <color theme="0"/>
      <name val="Calibri"/>
      <family val="2"/>
      <scheme val="minor"/>
    </font>
    <font>
      <b/>
      <sz val="18"/>
      <color theme="1"/>
      <name val="Calibri"/>
      <family val="2"/>
      <scheme val="minor"/>
    </font>
    <font>
      <b/>
      <sz val="13"/>
      <color theme="0"/>
      <name val="Calibri"/>
      <family val="2"/>
      <scheme val="minor"/>
    </font>
    <font>
      <sz val="13"/>
      <color theme="0"/>
      <name val="Calibri"/>
      <family val="2"/>
      <scheme val="minor"/>
    </font>
    <font>
      <b/>
      <sz val="15"/>
      <color rgb="FFFFFFFF"/>
      <name val="Calibri"/>
      <family val="2"/>
    </font>
    <font>
      <b/>
      <sz val="9"/>
      <color rgb="FFFFFFFF"/>
      <name val="Calibri"/>
      <family val="2"/>
    </font>
    <font>
      <b/>
      <sz val="14"/>
      <color rgb="FF006100"/>
      <name val="Calibri"/>
      <family val="2"/>
      <scheme val="minor"/>
    </font>
    <font>
      <b/>
      <sz val="14"/>
      <color rgb="FFC00000"/>
      <name val="Calibri"/>
      <family val="2"/>
      <scheme val="minor"/>
    </font>
    <font>
      <i/>
      <sz val="9"/>
      <color rgb="FF334155"/>
      <name val="Calibri"/>
      <family val="2"/>
    </font>
    <font>
      <b/>
      <sz val="11"/>
      <color rgb="FFFFFFFF"/>
      <name val="Calibri"/>
      <family val="2"/>
    </font>
    <font>
      <b/>
      <sz val="10"/>
      <color rgb="FFFFFFFF"/>
      <name val="Calibri"/>
      <family val="2"/>
    </font>
    <font>
      <b/>
      <sz val="11"/>
      <color rgb="FF006100"/>
      <name val="Calibri"/>
      <family val="2"/>
      <scheme val="minor"/>
    </font>
    <font>
      <b/>
      <sz val="18"/>
      <color theme="0"/>
      <name val="Calibri"/>
      <family val="2"/>
      <scheme val="minor"/>
    </font>
    <font>
      <b/>
      <sz val="16"/>
      <color theme="1"/>
      <name val="Calibri"/>
      <family val="2"/>
      <scheme val="minor"/>
    </font>
    <font>
      <u/>
      <sz val="11"/>
      <color theme="10"/>
      <name val="Calibri"/>
      <family val="2"/>
      <scheme val="minor"/>
    </font>
    <font>
      <b/>
      <sz val="11"/>
      <color rgb="FF0000FF"/>
      <name val="Calibri"/>
      <family val="2"/>
      <scheme val="minor"/>
    </font>
  </fonts>
  <fills count="1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2C5282"/>
        <bgColor rgb="FF334155"/>
      </patternFill>
    </fill>
    <fill>
      <patternFill patternType="solid">
        <fgColor rgb="FFF0F4F8"/>
        <bgColor indexed="64"/>
      </patternFill>
    </fill>
    <fill>
      <patternFill patternType="solid">
        <fgColor rgb="FFF0F4F8"/>
        <bgColor rgb="FFEDF2F7"/>
      </patternFill>
    </fill>
    <fill>
      <patternFill patternType="solid">
        <fgColor rgb="FF002060"/>
        <bgColor rgb="FF334155"/>
      </patternFill>
    </fill>
    <fill>
      <patternFill patternType="solid">
        <fgColor rgb="FFE2F0D9"/>
        <bgColor indexed="64"/>
      </patternFill>
    </fill>
    <fill>
      <patternFill patternType="solid">
        <fgColor theme="3" tint="0.79998168889431442"/>
        <bgColor indexed="64"/>
      </patternFill>
    </fill>
  </fills>
  <borders count="26">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0"/>
      </left>
      <right style="thin">
        <color theme="0"/>
      </right>
      <top style="thin">
        <color theme="0"/>
      </top>
      <bottom/>
      <diagonal/>
    </border>
    <border>
      <left style="thin">
        <color theme="4" tint="0.59999389629810485"/>
      </left>
      <right style="thin">
        <color theme="4" tint="0.59999389629810485"/>
      </right>
      <top style="thin">
        <color theme="4" tint="0.59999389629810485"/>
      </top>
      <bottom style="double">
        <color theme="1"/>
      </bottom>
      <diagonal/>
    </border>
    <border>
      <left style="thin">
        <color theme="4" tint="0.59999389629810485"/>
      </left>
      <right style="thin">
        <color theme="4" tint="0.59999389629810485"/>
      </right>
      <top style="thin">
        <color theme="4" tint="0.59999389629810485"/>
      </top>
      <bottom style="medium">
        <color theme="1"/>
      </bottom>
      <diagonal/>
    </border>
    <border>
      <left style="thin">
        <color theme="4" tint="0.59999389629810485"/>
      </left>
      <right style="thin">
        <color theme="4" tint="0.59999389629810485"/>
      </right>
      <top/>
      <bottom style="medium">
        <color theme="1"/>
      </bottom>
      <diagonal/>
    </border>
    <border>
      <left style="thin">
        <color theme="4" tint="0.59999389629810485"/>
      </left>
      <right style="thin">
        <color theme="4" tint="0.59999389629810485"/>
      </right>
      <top style="medium">
        <color theme="1"/>
      </top>
      <bottom style="medium">
        <color theme="1"/>
      </bottom>
      <diagonal/>
    </border>
    <border>
      <left style="thin">
        <color theme="4" tint="0.59999389629810485"/>
      </left>
      <right style="thin">
        <color theme="4" tint="0.59999389629810485"/>
      </right>
      <top style="medium">
        <color theme="1"/>
      </top>
      <bottom style="double">
        <color theme="1"/>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rgb="FFCBD5E0"/>
      </left>
      <right style="thin">
        <color rgb="FFCBD5E0"/>
      </right>
      <top style="thin">
        <color rgb="FFCBD5E0"/>
      </top>
      <bottom/>
      <diagonal/>
    </border>
    <border>
      <left style="thin">
        <color theme="4" tint="0.79998168889431442"/>
      </left>
      <right style="thin">
        <color theme="4" tint="0.79998168889431442"/>
      </right>
      <top style="thin">
        <color theme="4" tint="0.79998168889431442"/>
      </top>
      <bottom style="double">
        <color theme="1"/>
      </bottom>
      <diagonal/>
    </border>
    <border>
      <left style="thin">
        <color theme="0"/>
      </left>
      <right/>
      <top/>
      <bottom/>
      <diagonal/>
    </border>
    <border>
      <left style="thin">
        <color rgb="FF002060"/>
      </left>
      <right style="thin">
        <color rgb="FF002060"/>
      </right>
      <top style="thin">
        <color rgb="FF002060"/>
      </top>
      <bottom style="thin">
        <color rgb="FF002060"/>
      </bottom>
      <diagonal/>
    </border>
    <border>
      <left style="thin">
        <color theme="4" tint="0.79998168889431442"/>
      </left>
      <right/>
      <top style="thin">
        <color theme="4" tint="0.79998168889431442"/>
      </top>
      <bottom/>
      <diagonal/>
    </border>
    <border>
      <left/>
      <right style="thin">
        <color theme="4" tint="0.79998168889431442"/>
      </right>
      <top style="thin">
        <color theme="4" tint="0.79998168889431442"/>
      </top>
      <bottom/>
      <diagonal/>
    </border>
    <border>
      <left style="thin">
        <color theme="4" tint="0.79998168889431442"/>
      </left>
      <right/>
      <top/>
      <bottom style="thin">
        <color theme="4" tint="0.79998168889431442"/>
      </bottom>
      <diagonal/>
    </border>
    <border>
      <left/>
      <right style="thin">
        <color theme="4" tint="0.79998168889431442"/>
      </right>
      <top/>
      <bottom style="thin">
        <color theme="4" tint="0.79998168889431442"/>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style="thin">
        <color theme="4" tint="0.79998168889431442"/>
      </right>
      <top/>
      <bottom style="thin">
        <color theme="4" tint="0.79998168889431442"/>
      </bottom>
      <diagonal/>
    </border>
    <border>
      <left/>
      <right/>
      <top style="thin">
        <color theme="4" tint="0.79998168889431442"/>
      </top>
      <bottom/>
      <diagonal/>
    </border>
    <border>
      <left style="thin">
        <color theme="4" tint="0.79998168889431442"/>
      </left>
      <right style="thin">
        <color theme="4" tint="0.79998168889431442"/>
      </right>
      <top style="thin">
        <color theme="4" tint="0.79998168889431442"/>
      </top>
      <bottom style="medium">
        <color theme="1"/>
      </bottom>
      <diagonal/>
    </border>
    <border>
      <left style="thin">
        <color theme="4" tint="0.79998168889431442"/>
      </left>
      <right style="thin">
        <color theme="4" tint="0.79998168889431442"/>
      </right>
      <top style="medium">
        <color theme="1"/>
      </top>
      <bottom style="medium">
        <color theme="1"/>
      </bottom>
      <diagonal/>
    </border>
    <border>
      <left style="thin">
        <color theme="4" tint="0.79998168889431442"/>
      </left>
      <right style="thin">
        <color theme="4" tint="0.79998168889431442"/>
      </right>
      <top style="medium">
        <color theme="1"/>
      </top>
      <bottom style="double">
        <color theme="1"/>
      </bottom>
      <diagonal/>
    </border>
  </borders>
  <cellStyleXfs count="3">
    <xf numFmtId="0" fontId="0" fillId="0" borderId="0"/>
    <xf numFmtId="43" fontId="4" fillId="0" borderId="0" applyFont="0" applyFill="0" applyBorder="0" applyAlignment="0" applyProtection="0"/>
    <xf numFmtId="0" fontId="26" fillId="0" borderId="0" applyNumberFormat="0" applyFill="0" applyBorder="0" applyAlignment="0" applyProtection="0"/>
  </cellStyleXfs>
  <cellXfs count="222">
    <xf numFmtId="0" fontId="0" fillId="0" borderId="0" xfId="0"/>
    <xf numFmtId="10" fontId="0" fillId="0" borderId="0" xfId="0" applyNumberFormat="1"/>
    <xf numFmtId="2" fontId="0" fillId="0" borderId="0" xfId="0" applyNumberFormat="1"/>
    <xf numFmtId="0" fontId="1" fillId="2" borderId="0" xfId="0" applyFont="1" applyFill="1" applyAlignment="1">
      <alignment horizontal="center" vertical="center"/>
    </xf>
    <xf numFmtId="0" fontId="7" fillId="0" borderId="0" xfId="0" applyFont="1"/>
    <xf numFmtId="0" fontId="2" fillId="0" borderId="0" xfId="0" applyFont="1"/>
    <xf numFmtId="43" fontId="0" fillId="0" borderId="0" xfId="0" applyNumberFormat="1"/>
    <xf numFmtId="0" fontId="1" fillId="0" borderId="0" xfId="0" applyFont="1" applyFill="1" applyAlignment="1">
      <alignment horizontal="center" vertical="center"/>
    </xf>
    <xf numFmtId="165" fontId="9" fillId="3" borderId="0" xfId="1" applyNumberFormat="1" applyFont="1" applyFill="1"/>
    <xf numFmtId="0" fontId="9" fillId="3" borderId="0" xfId="0" applyFont="1" applyFill="1" applyAlignment="1"/>
    <xf numFmtId="43" fontId="7" fillId="0" borderId="0" xfId="0" applyNumberFormat="1" applyFont="1"/>
    <xf numFmtId="0" fontId="7" fillId="0" borderId="0" xfId="0" applyFont="1" applyFill="1"/>
    <xf numFmtId="0" fontId="0" fillId="0" borderId="0" xfId="0" applyFill="1"/>
    <xf numFmtId="0" fontId="10" fillId="0" borderId="0" xfId="0" applyFont="1"/>
    <xf numFmtId="0" fontId="1" fillId="2" borderId="0" xfId="0" applyFont="1" applyFill="1"/>
    <xf numFmtId="167" fontId="0" fillId="0" borderId="0" xfId="0" applyNumberFormat="1"/>
    <xf numFmtId="167" fontId="2" fillId="0" borderId="0" xfId="0" applyNumberFormat="1" applyFont="1"/>
    <xf numFmtId="0" fontId="1" fillId="2" borderId="5" xfId="0" applyFont="1" applyFill="1" applyBorder="1" applyAlignment="1">
      <alignment horizontal="center" vertical="center" wrapText="1"/>
    </xf>
    <xf numFmtId="0" fontId="0" fillId="0" borderId="4" xfId="0" applyBorder="1"/>
    <xf numFmtId="167" fontId="0" fillId="0" borderId="4" xfId="0" applyNumberFormat="1" applyBorder="1"/>
    <xf numFmtId="0" fontId="2" fillId="0" borderId="4" xfId="0" applyFont="1" applyBorder="1"/>
    <xf numFmtId="0" fontId="2" fillId="0" borderId="6" xfId="0" applyFont="1" applyBorder="1"/>
    <xf numFmtId="0" fontId="2" fillId="0" borderId="6" xfId="0" applyFont="1" applyBorder="1" applyAlignment="1">
      <alignment vertical="center" wrapText="1"/>
    </xf>
    <xf numFmtId="167" fontId="5" fillId="0" borderId="4" xfId="0" applyNumberFormat="1" applyFont="1" applyBorder="1" applyAlignment="1">
      <alignment horizontal="right" vertical="center"/>
    </xf>
    <xf numFmtId="167" fontId="0" fillId="0" borderId="4" xfId="0" applyNumberFormat="1" applyBorder="1" applyAlignment="1">
      <alignment horizontal="right" vertical="center"/>
    </xf>
    <xf numFmtId="167" fontId="2" fillId="0" borderId="6" xfId="0" applyNumberFormat="1" applyFont="1" applyBorder="1" applyAlignment="1">
      <alignment horizontal="righ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xf>
    <xf numFmtId="0" fontId="5" fillId="0" borderId="6" xfId="0" applyNumberFormat="1" applyFont="1" applyBorder="1" applyAlignment="1">
      <alignment horizontal="right" vertical="center"/>
    </xf>
    <xf numFmtId="0" fontId="9" fillId="3" borderId="0" xfId="0" applyFont="1" applyFill="1"/>
    <xf numFmtId="0" fontId="13" fillId="0" borderId="0" xfId="0" applyFont="1"/>
    <xf numFmtId="0" fontId="15" fillId="0" borderId="0" xfId="0" applyFont="1" applyFill="1"/>
    <xf numFmtId="0" fontId="14" fillId="0" borderId="0" xfId="0" applyFont="1" applyFill="1" applyAlignment="1"/>
    <xf numFmtId="0" fontId="0" fillId="0" borderId="0" xfId="0" applyAlignment="1">
      <alignment horizontal="center" vertical="center"/>
    </xf>
    <xf numFmtId="168" fontId="0" fillId="0" borderId="0" xfId="0" applyNumberFormat="1"/>
    <xf numFmtId="171" fontId="0" fillId="0" borderId="0" xfId="0" applyNumberFormat="1"/>
    <xf numFmtId="0" fontId="0" fillId="0" borderId="7" xfId="0" applyBorder="1" applyAlignment="1">
      <alignment horizontal="center" vertical="center"/>
    </xf>
    <xf numFmtId="169" fontId="0" fillId="0" borderId="4" xfId="0" applyNumberFormat="1" applyBorder="1"/>
    <xf numFmtId="169" fontId="5" fillId="0" borderId="4" xfId="0" applyNumberFormat="1" applyFont="1" applyBorder="1"/>
    <xf numFmtId="0" fontId="0" fillId="0" borderId="4" xfId="0" applyBorder="1" applyAlignment="1">
      <alignment horizontal="left" vertical="center" wrapText="1"/>
    </xf>
    <xf numFmtId="170" fontId="0" fillId="0" borderId="4" xfId="0" applyNumberFormat="1" applyBorder="1"/>
    <xf numFmtId="10" fontId="0" fillId="0" borderId="4" xfId="0" applyNumberFormat="1" applyBorder="1"/>
    <xf numFmtId="170" fontId="0" fillId="0" borderId="4" xfId="0" applyNumberFormat="1" applyBorder="1" applyAlignment="1">
      <alignment horizontal="center" vertical="center"/>
    </xf>
    <xf numFmtId="170" fontId="5" fillId="0" borderId="4" xfId="0" applyNumberFormat="1" applyFont="1" applyBorder="1"/>
    <xf numFmtId="0" fontId="2" fillId="0" borderId="7" xfId="0" applyFont="1" applyBorder="1"/>
    <xf numFmtId="0" fontId="2" fillId="0" borderId="7" xfId="0" applyFont="1" applyBorder="1" applyAlignment="1">
      <alignment horizontal="left" vertical="center" wrapText="1"/>
    </xf>
    <xf numFmtId="170" fontId="2" fillId="0" borderId="7" xfId="0" applyNumberFormat="1" applyFont="1" applyBorder="1"/>
    <xf numFmtId="167" fontId="2" fillId="0" borderId="7" xfId="0" applyNumberFormat="1" applyFont="1" applyBorder="1"/>
    <xf numFmtId="10" fontId="2" fillId="0" borderId="7" xfId="0" applyNumberFormat="1" applyFont="1" applyBorder="1"/>
    <xf numFmtId="0" fontId="2" fillId="0" borderId="8" xfId="0" applyFont="1" applyBorder="1"/>
    <xf numFmtId="0" fontId="2" fillId="0" borderId="8" xfId="0" applyFont="1" applyBorder="1" applyAlignment="1">
      <alignment horizontal="left" vertical="center" wrapText="1"/>
    </xf>
    <xf numFmtId="169" fontId="2" fillId="0" borderId="8" xfId="0" applyNumberFormat="1" applyFont="1" applyBorder="1"/>
    <xf numFmtId="167" fontId="2" fillId="0" borderId="8" xfId="0" applyNumberFormat="1" applyFont="1" applyBorder="1"/>
    <xf numFmtId="10" fontId="2" fillId="0" borderId="8" xfId="0" applyNumberFormat="1" applyFont="1" applyBorder="1"/>
    <xf numFmtId="0" fontId="2" fillId="0" borderId="8" xfId="0" applyFont="1" applyBorder="1" applyAlignment="1">
      <alignment horizontal="center" vertical="center"/>
    </xf>
    <xf numFmtId="0" fontId="2" fillId="0" borderId="9" xfId="0" applyFont="1" applyBorder="1"/>
    <xf numFmtId="0" fontId="2" fillId="0" borderId="10" xfId="0" applyFont="1" applyBorder="1"/>
    <xf numFmtId="0" fontId="2" fillId="0" borderId="10" xfId="0" applyFont="1" applyBorder="1" applyAlignment="1">
      <alignment horizontal="left" vertical="center" wrapText="1"/>
    </xf>
    <xf numFmtId="169" fontId="2" fillId="0" borderId="10" xfId="0" applyNumberFormat="1" applyFont="1" applyBorder="1"/>
    <xf numFmtId="10" fontId="2" fillId="0" borderId="10" xfId="0" applyNumberFormat="1" applyFont="1" applyBorder="1"/>
    <xf numFmtId="0" fontId="2" fillId="0" borderId="10" xfId="0" applyFont="1" applyBorder="1" applyAlignment="1">
      <alignment horizontal="center" vertical="center"/>
    </xf>
    <xf numFmtId="167" fontId="2" fillId="0" borderId="10" xfId="0" applyNumberFormat="1" applyFont="1" applyBorder="1"/>
    <xf numFmtId="0" fontId="1" fillId="2" borderId="5" xfId="0" applyFont="1" applyFill="1" applyBorder="1" applyAlignment="1">
      <alignment horizontal="center" vertical="center"/>
    </xf>
    <xf numFmtId="2" fontId="1" fillId="2" borderId="5" xfId="0" applyNumberFormat="1" applyFont="1" applyFill="1" applyBorder="1" applyAlignment="1">
      <alignment horizontal="center" vertical="center"/>
    </xf>
    <xf numFmtId="10" fontId="1" fillId="2" borderId="5" xfId="0" applyNumberFormat="1" applyFont="1" applyFill="1" applyBorder="1" applyAlignment="1">
      <alignment horizontal="center" vertical="center"/>
    </xf>
    <xf numFmtId="0" fontId="2" fillId="0" borderId="11" xfId="0" applyFont="1" applyBorder="1"/>
    <xf numFmtId="2" fontId="3" fillId="0" borderId="4" xfId="0" applyNumberFormat="1" applyFont="1" applyBorder="1"/>
    <xf numFmtId="8" fontId="0" fillId="0" borderId="4" xfId="0" applyNumberFormat="1" applyBorder="1" applyAlignment="1">
      <alignment horizontal="center"/>
    </xf>
    <xf numFmtId="8" fontId="0" fillId="0" borderId="7" xfId="0" applyNumberFormat="1" applyBorder="1" applyAlignment="1">
      <alignment horizontal="center"/>
    </xf>
    <xf numFmtId="2" fontId="0" fillId="0" borderId="7" xfId="0" applyNumberFormat="1" applyBorder="1"/>
    <xf numFmtId="10" fontId="0" fillId="0" borderId="7" xfId="0" applyNumberFormat="1" applyBorder="1"/>
    <xf numFmtId="8" fontId="0" fillId="0" borderId="9" xfId="0" applyNumberFormat="1" applyBorder="1" applyAlignment="1">
      <alignment horizontal="center"/>
    </xf>
    <xf numFmtId="2" fontId="0" fillId="0" borderId="9" xfId="0" applyNumberFormat="1" applyBorder="1"/>
    <xf numFmtId="10" fontId="0" fillId="0" borderId="9" xfId="0" applyNumberFormat="1" applyBorder="1"/>
    <xf numFmtId="0" fontId="0" fillId="0" borderId="9" xfId="0" applyBorder="1" applyAlignment="1">
      <alignment horizontal="center"/>
    </xf>
    <xf numFmtId="8" fontId="0" fillId="0" borderId="10" xfId="0" applyNumberFormat="1" applyBorder="1" applyAlignment="1">
      <alignment horizontal="center"/>
    </xf>
    <xf numFmtId="2" fontId="0" fillId="0" borderId="10" xfId="0" applyNumberFormat="1" applyBorder="1"/>
    <xf numFmtId="10" fontId="0" fillId="0" borderId="10" xfId="0" applyNumberFormat="1" applyBorder="1"/>
    <xf numFmtId="0" fontId="22" fillId="8" borderId="12" xfId="0" applyFont="1" applyFill="1" applyBorder="1" applyAlignment="1">
      <alignment horizontal="left" vertical="center" wrapText="1"/>
    </xf>
    <xf numFmtId="0" fontId="22" fillId="8" borderId="12" xfId="0" applyFont="1" applyFill="1" applyBorder="1" applyAlignment="1">
      <alignment horizontal="center" vertical="center" wrapText="1"/>
    </xf>
    <xf numFmtId="170" fontId="0" fillId="0" borderId="11" xfId="0" applyNumberFormat="1" applyBorder="1"/>
    <xf numFmtId="0" fontId="2" fillId="6" borderId="13" xfId="0" applyFont="1" applyFill="1" applyBorder="1"/>
    <xf numFmtId="170" fontId="2" fillId="6" borderId="13" xfId="0" applyNumberFormat="1" applyFont="1" applyFill="1" applyBorder="1"/>
    <xf numFmtId="172" fontId="0" fillId="0" borderId="11" xfId="0" applyNumberFormat="1" applyBorder="1"/>
    <xf numFmtId="172" fontId="2" fillId="6" borderId="13" xfId="0" applyNumberFormat="1" applyFont="1" applyFill="1" applyBorder="1"/>
    <xf numFmtId="170" fontId="5" fillId="0" borderId="11" xfId="0" applyNumberFormat="1" applyFont="1" applyBorder="1"/>
    <xf numFmtId="0" fontId="8" fillId="2" borderId="0" xfId="0" applyFont="1" applyFill="1" applyAlignment="1">
      <alignment horizontal="center" vertical="center"/>
    </xf>
    <xf numFmtId="0" fontId="22" fillId="8" borderId="11" xfId="0" applyFont="1" applyFill="1" applyBorder="1" applyAlignment="1">
      <alignment horizontal="left" vertical="center" wrapText="1"/>
    </xf>
    <xf numFmtId="0" fontId="22" fillId="8" borderId="11" xfId="0" applyFont="1" applyFill="1" applyBorder="1" applyAlignment="1">
      <alignment horizontal="center" vertical="center" wrapText="1"/>
    </xf>
    <xf numFmtId="0" fontId="0" fillId="0" borderId="11" xfId="0" applyBorder="1"/>
    <xf numFmtId="0" fontId="16" fillId="0" borderId="0" xfId="0" applyFont="1" applyFill="1" applyAlignment="1">
      <alignment vertical="center"/>
    </xf>
    <xf numFmtId="0" fontId="25" fillId="0" borderId="0" xfId="0" applyFont="1"/>
    <xf numFmtId="0" fontId="24" fillId="0" borderId="0" xfId="0" applyFont="1" applyFill="1" applyAlignment="1"/>
    <xf numFmtId="0" fontId="1" fillId="0" borderId="14" xfId="0" applyFont="1" applyFill="1" applyBorder="1" applyAlignment="1">
      <alignment vertical="center"/>
    </xf>
    <xf numFmtId="0" fontId="1" fillId="0" borderId="0" xfId="0" applyFont="1" applyFill="1" applyAlignment="1">
      <alignment vertical="center"/>
    </xf>
    <xf numFmtId="0" fontId="2" fillId="0" borderId="15" xfId="0" applyFont="1" applyBorder="1"/>
    <xf numFmtId="0" fontId="0" fillId="0" borderId="15" xfId="0" applyBorder="1"/>
    <xf numFmtId="0" fontId="2" fillId="6" borderId="15" xfId="0" applyFont="1" applyFill="1" applyBorder="1"/>
    <xf numFmtId="0" fontId="0" fillId="6" borderId="15" xfId="0" applyFill="1" applyBorder="1"/>
    <xf numFmtId="0" fontId="6" fillId="0" borderId="0" xfId="0" applyFont="1" applyFill="1"/>
    <xf numFmtId="0" fontId="9" fillId="0" borderId="0" xfId="0" applyFont="1" applyFill="1" applyAlignment="1"/>
    <xf numFmtId="0" fontId="26" fillId="0" borderId="0" xfId="2"/>
    <xf numFmtId="0" fontId="27" fillId="0" borderId="15" xfId="0" applyFont="1" applyBorder="1"/>
    <xf numFmtId="0" fontId="0" fillId="0" borderId="15" xfId="0" applyFont="1" applyBorder="1"/>
    <xf numFmtId="0" fontId="23" fillId="0" borderId="15" xfId="0" applyFont="1" applyBorder="1"/>
    <xf numFmtId="0" fontId="23" fillId="9" borderId="15" xfId="0" applyFont="1" applyFill="1" applyBorder="1"/>
    <xf numFmtId="0" fontId="2" fillId="0" borderId="11" xfId="0" applyFont="1" applyBorder="1" applyAlignment="1">
      <alignment horizontal="center"/>
    </xf>
    <xf numFmtId="165" fontId="3" fillId="0" borderId="11" xfId="1" applyNumberFormat="1" applyFont="1" applyBorder="1"/>
    <xf numFmtId="2" fontId="0" fillId="0" borderId="11" xfId="0" applyNumberFormat="1" applyBorder="1"/>
    <xf numFmtId="10" fontId="0" fillId="0" borderId="11" xfId="0" applyNumberFormat="1" applyBorder="1"/>
    <xf numFmtId="43" fontId="3" fillId="0" borderId="11" xfId="1" applyNumberFormat="1" applyFont="1" applyBorder="1"/>
    <xf numFmtId="0" fontId="0" fillId="0" borderId="11" xfId="0" applyFont="1" applyBorder="1"/>
    <xf numFmtId="0" fontId="1" fillId="2" borderId="11" xfId="0" applyFont="1" applyFill="1" applyBorder="1" applyAlignment="1">
      <alignment horizontal="center" vertical="center"/>
    </xf>
    <xf numFmtId="2" fontId="1" fillId="2" borderId="11" xfId="0" applyNumberFormat="1" applyFont="1" applyFill="1" applyBorder="1" applyAlignment="1">
      <alignment horizontal="center" vertical="center"/>
    </xf>
    <xf numFmtId="10" fontId="1" fillId="2" borderId="11" xfId="0" applyNumberFormat="1" applyFont="1" applyFill="1" applyBorder="1" applyAlignment="1">
      <alignment horizontal="center" vertical="center"/>
    </xf>
    <xf numFmtId="0" fontId="25" fillId="10" borderId="0" xfId="0" applyFont="1" applyFill="1" applyBorder="1"/>
    <xf numFmtId="9" fontId="9" fillId="3" borderId="0" xfId="0" applyNumberFormat="1" applyFont="1" applyFill="1" applyAlignment="1"/>
    <xf numFmtId="2" fontId="1" fillId="2" borderId="11" xfId="0" applyNumberFormat="1" applyFont="1" applyFill="1" applyBorder="1" applyAlignment="1">
      <alignment horizontal="center" vertical="center" wrapText="1"/>
    </xf>
    <xf numFmtId="10" fontId="1" fillId="2" borderId="11" xfId="0" applyNumberFormat="1" applyFont="1" applyFill="1" applyBorder="1" applyAlignment="1">
      <alignment horizontal="center" vertical="center" wrapText="1"/>
    </xf>
    <xf numFmtId="0" fontId="1" fillId="2" borderId="11" xfId="0" applyFont="1" applyFill="1" applyBorder="1" applyAlignment="1">
      <alignment horizontal="center" vertical="center" wrapText="1"/>
    </xf>
    <xf numFmtId="165" fontId="4" fillId="0" borderId="11" xfId="0" applyNumberFormat="1" applyFont="1" applyBorder="1"/>
    <xf numFmtId="43" fontId="5" fillId="0" borderId="11" xfId="0" applyNumberFormat="1" applyFont="1" applyBorder="1"/>
    <xf numFmtId="165" fontId="4" fillId="0" borderId="11" xfId="1" applyNumberFormat="1" applyFont="1" applyBorder="1"/>
    <xf numFmtId="1" fontId="3" fillId="0" borderId="11" xfId="0" applyNumberFormat="1" applyFont="1" applyBorder="1"/>
    <xf numFmtId="0" fontId="3" fillId="0" borderId="11" xfId="0" applyFont="1" applyBorder="1"/>
    <xf numFmtId="1" fontId="4" fillId="0" borderId="11" xfId="0" applyNumberFormat="1" applyFont="1" applyBorder="1"/>
    <xf numFmtId="43" fontId="4" fillId="0" borderId="11" xfId="0" applyNumberFormat="1" applyFont="1" applyBorder="1"/>
    <xf numFmtId="165" fontId="3" fillId="0" borderId="11" xfId="0" applyNumberFormat="1" applyFont="1" applyBorder="1"/>
    <xf numFmtId="0" fontId="2" fillId="0" borderId="21" xfId="0" applyFont="1" applyBorder="1" applyAlignment="1">
      <alignment horizontal="center"/>
    </xf>
    <xf numFmtId="0" fontId="0" fillId="0" borderId="21" xfId="0" applyBorder="1"/>
    <xf numFmtId="165" fontId="4" fillId="0" borderId="21" xfId="0" applyNumberFormat="1" applyFont="1" applyBorder="1"/>
    <xf numFmtId="43" fontId="5" fillId="0" borderId="21" xfId="0" applyNumberFormat="1" applyFont="1" applyBorder="1"/>
    <xf numFmtId="165" fontId="4" fillId="0" borderId="21" xfId="1" applyNumberFormat="1" applyFont="1" applyBorder="1"/>
    <xf numFmtId="1" fontId="3" fillId="0" borderId="21" xfId="0" applyNumberFormat="1" applyFont="1" applyBorder="1"/>
    <xf numFmtId="0" fontId="3" fillId="0" borderId="21" xfId="0" applyFont="1" applyBorder="1"/>
    <xf numFmtId="0" fontId="2" fillId="0" borderId="23" xfId="0" applyFont="1" applyBorder="1" applyAlignment="1">
      <alignment horizontal="center"/>
    </xf>
    <xf numFmtId="0" fontId="2" fillId="0" borderId="23" xfId="0" applyFont="1" applyBorder="1"/>
    <xf numFmtId="165" fontId="2" fillId="0" borderId="23" xfId="0" applyNumberFormat="1" applyFont="1" applyBorder="1"/>
    <xf numFmtId="43" fontId="2" fillId="0" borderId="23" xfId="0" applyNumberFormat="1" applyFont="1" applyBorder="1"/>
    <xf numFmtId="165" fontId="2" fillId="0" borderId="23" xfId="1" applyNumberFormat="1" applyFont="1" applyBorder="1"/>
    <xf numFmtId="1" fontId="2" fillId="0" borderId="23" xfId="0" applyNumberFormat="1" applyFont="1" applyBorder="1"/>
    <xf numFmtId="1" fontId="4" fillId="0" borderId="21" xfId="0" applyNumberFormat="1" applyFont="1" applyBorder="1"/>
    <xf numFmtId="0" fontId="2" fillId="0" borderId="24" xfId="0" applyFont="1" applyBorder="1" applyAlignment="1">
      <alignment horizontal="center"/>
    </xf>
    <xf numFmtId="0" fontId="2" fillId="0" borderId="24" xfId="0" applyFont="1" applyBorder="1"/>
    <xf numFmtId="165" fontId="2" fillId="0" borderId="24" xfId="0" applyNumberFormat="1" applyFont="1" applyBorder="1"/>
    <xf numFmtId="43" fontId="2" fillId="0" borderId="24" xfId="0" applyNumberFormat="1" applyFont="1" applyBorder="1"/>
    <xf numFmtId="165" fontId="2" fillId="0" borderId="24" xfId="1" applyNumberFormat="1" applyFont="1" applyBorder="1"/>
    <xf numFmtId="0" fontId="2" fillId="0" borderId="25" xfId="0" applyFont="1" applyBorder="1" applyAlignment="1">
      <alignment horizontal="center"/>
    </xf>
    <xf numFmtId="0" fontId="2" fillId="0" borderId="25" xfId="0" applyFont="1" applyBorder="1"/>
    <xf numFmtId="165" fontId="2" fillId="0" borderId="25" xfId="0" applyNumberFormat="1" applyFont="1" applyBorder="1"/>
    <xf numFmtId="43" fontId="2" fillId="0" borderId="25" xfId="0" applyNumberFormat="1" applyFont="1" applyBorder="1"/>
    <xf numFmtId="165" fontId="2" fillId="0" borderId="25" xfId="1" applyNumberFormat="1" applyFont="1" applyBorder="1"/>
    <xf numFmtId="0" fontId="1" fillId="2" borderId="20" xfId="0" applyFont="1" applyFill="1" applyBorder="1" applyAlignment="1">
      <alignment horizontal="center" vertical="center"/>
    </xf>
    <xf numFmtId="2" fontId="1" fillId="2" borderId="20" xfId="0" applyNumberFormat="1" applyFont="1" applyFill="1" applyBorder="1" applyAlignment="1">
      <alignment horizontal="center" vertical="center"/>
    </xf>
    <xf numFmtId="2" fontId="1" fillId="2" borderId="20" xfId="0" applyNumberFormat="1" applyFont="1" applyFill="1" applyBorder="1" applyAlignment="1">
      <alignment horizontal="center" vertical="center" wrapText="1"/>
    </xf>
    <xf numFmtId="10" fontId="1" fillId="2" borderId="20" xfId="0" applyNumberFormat="1" applyFont="1" applyFill="1" applyBorder="1" applyAlignment="1">
      <alignment horizontal="center" vertical="center"/>
    </xf>
    <xf numFmtId="43" fontId="0" fillId="0" borderId="11" xfId="0" applyNumberFormat="1" applyFont="1" applyFill="1" applyBorder="1"/>
    <xf numFmtId="166" fontId="0" fillId="0" borderId="11" xfId="0" applyNumberFormat="1" applyBorder="1"/>
    <xf numFmtId="43" fontId="0" fillId="0" borderId="11" xfId="0" applyNumberFormat="1" applyBorder="1"/>
    <xf numFmtId="43" fontId="0" fillId="0" borderId="11" xfId="0" applyNumberFormat="1" applyFill="1" applyBorder="1"/>
    <xf numFmtId="166" fontId="5" fillId="0" borderId="11" xfId="0" applyNumberFormat="1" applyFont="1" applyBorder="1"/>
    <xf numFmtId="43" fontId="0" fillId="0" borderId="21" xfId="0" applyNumberFormat="1" applyFont="1" applyFill="1" applyBorder="1"/>
    <xf numFmtId="166" fontId="0" fillId="0" borderId="21" xfId="0" applyNumberFormat="1" applyBorder="1"/>
    <xf numFmtId="10" fontId="0" fillId="0" borderId="21" xfId="0" applyNumberFormat="1" applyBorder="1"/>
    <xf numFmtId="43" fontId="2" fillId="0" borderId="23" xfId="0" applyNumberFormat="1" applyFont="1" applyFill="1" applyBorder="1"/>
    <xf numFmtId="166" fontId="2" fillId="0" borderId="23" xfId="0" applyNumberFormat="1" applyFont="1" applyBorder="1"/>
    <xf numFmtId="10" fontId="2" fillId="0" borderId="23" xfId="0" applyNumberFormat="1" applyFont="1" applyBorder="1"/>
    <xf numFmtId="43" fontId="0" fillId="0" borderId="21" xfId="0" applyNumberFormat="1" applyBorder="1"/>
    <xf numFmtId="43" fontId="0" fillId="0" borderId="21" xfId="0" applyNumberFormat="1" applyFill="1" applyBorder="1"/>
    <xf numFmtId="164" fontId="2" fillId="0" borderId="24" xfId="0" applyNumberFormat="1" applyFont="1" applyBorder="1"/>
    <xf numFmtId="164" fontId="2" fillId="0" borderId="24" xfId="0" applyNumberFormat="1" applyFont="1" applyFill="1" applyBorder="1"/>
    <xf numFmtId="166" fontId="2" fillId="0" borderId="24" xfId="0" applyNumberFormat="1" applyFont="1" applyBorder="1"/>
    <xf numFmtId="10" fontId="2" fillId="0" borderId="24" xfId="0" applyNumberFormat="1" applyFont="1" applyBorder="1"/>
    <xf numFmtId="164" fontId="2" fillId="0" borderId="23" xfId="0" applyNumberFormat="1" applyFont="1" applyBorder="1"/>
    <xf numFmtId="164" fontId="2" fillId="0" borderId="25" xfId="0" applyNumberFormat="1" applyFont="1" applyBorder="1"/>
    <xf numFmtId="164" fontId="2" fillId="0" borderId="25" xfId="0" applyNumberFormat="1" applyFont="1" applyFill="1" applyBorder="1"/>
    <xf numFmtId="166" fontId="2" fillId="0" borderId="25" xfId="0" applyNumberFormat="1" applyFont="1" applyBorder="1"/>
    <xf numFmtId="10" fontId="2" fillId="0" borderId="25" xfId="0" applyNumberFormat="1" applyFont="1" applyBorder="1"/>
    <xf numFmtId="0" fontId="1" fillId="2" borderId="0" xfId="0" applyFont="1" applyFill="1" applyAlignment="1">
      <alignment horizontal="left"/>
    </xf>
    <xf numFmtId="0" fontId="9" fillId="3" borderId="0" xfId="0" applyFont="1" applyFill="1" applyAlignment="1">
      <alignment horizontal="left"/>
    </xf>
    <xf numFmtId="0" fontId="6" fillId="2" borderId="0" xfId="0" applyFont="1" applyFill="1" applyAlignment="1">
      <alignment horizontal="left"/>
    </xf>
    <xf numFmtId="0" fontId="0" fillId="0" borderId="0" xfId="0" applyAlignment="1">
      <alignment horizontal="left" wrapText="1"/>
    </xf>
    <xf numFmtId="0" fontId="24" fillId="2" borderId="0" xfId="0" applyFont="1" applyFill="1" applyAlignment="1">
      <alignment horizontal="left"/>
    </xf>
    <xf numFmtId="0" fontId="9" fillId="3" borderId="0" xfId="0" applyFont="1" applyFill="1" applyAlignment="1">
      <alignment horizontal="center"/>
    </xf>
    <xf numFmtId="0" fontId="1" fillId="4"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14" fillId="4" borderId="0" xfId="0" applyFont="1" applyFill="1" applyAlignment="1">
      <alignment horizontal="left"/>
    </xf>
    <xf numFmtId="0" fontId="14" fillId="0" borderId="0" xfId="0" applyFont="1" applyFill="1" applyAlignment="1">
      <alignment horizontal="left"/>
    </xf>
    <xf numFmtId="0" fontId="16" fillId="8" borderId="0" xfId="0" applyFont="1" applyFill="1" applyAlignment="1">
      <alignment horizontal="left" vertical="center" inden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applyAlignment="1">
      <alignment horizontal="center"/>
    </xf>
    <xf numFmtId="0" fontId="0" fillId="0" borderId="22" xfId="0" applyBorder="1" applyAlignment="1">
      <alignment horizontal="center" vertical="center" wrapText="1"/>
    </xf>
    <xf numFmtId="0" fontId="0" fillId="0" borderId="0" xfId="0" applyBorder="1" applyAlignment="1">
      <alignment horizontal="center" vertical="center" wrapText="1"/>
    </xf>
    <xf numFmtId="170" fontId="5" fillId="0" borderId="22" xfId="0" applyNumberFormat="1" applyFont="1" applyBorder="1" applyAlignment="1">
      <alignment horizontal="center" vertical="center"/>
    </xf>
    <xf numFmtId="170" fontId="5" fillId="0" borderId="0" xfId="0" applyNumberFormat="1" applyFont="1" applyBorder="1" applyAlignment="1">
      <alignment horizontal="center" vertical="center"/>
    </xf>
    <xf numFmtId="172" fontId="0" fillId="0" borderId="22" xfId="0" applyNumberFormat="1" applyBorder="1" applyAlignment="1">
      <alignment horizontal="center" vertical="center"/>
    </xf>
    <xf numFmtId="172" fontId="0" fillId="0" borderId="0" xfId="0" applyNumberFormat="1" applyBorder="1" applyAlignment="1">
      <alignment horizontal="center" vertical="center"/>
    </xf>
    <xf numFmtId="0" fontId="0" fillId="0" borderId="20" xfId="0" applyBorder="1" applyAlignment="1">
      <alignment horizontal="center" vertical="center" wrapText="1"/>
    </xf>
    <xf numFmtId="0" fontId="0" fillId="0" borderId="21" xfId="0" applyBorder="1" applyAlignment="1">
      <alignment horizontal="center" vertical="center" wrapText="1"/>
    </xf>
    <xf numFmtId="170" fontId="5" fillId="0" borderId="20" xfId="0" applyNumberFormat="1" applyFont="1" applyBorder="1" applyAlignment="1">
      <alignment horizontal="center" vertical="center"/>
    </xf>
    <xf numFmtId="170" fontId="5" fillId="0" borderId="21" xfId="0" applyNumberFormat="1" applyFont="1" applyBorder="1" applyAlignment="1">
      <alignment horizontal="center" vertical="center"/>
    </xf>
    <xf numFmtId="172" fontId="0" fillId="0" borderId="20" xfId="0" applyNumberFormat="1" applyBorder="1" applyAlignment="1">
      <alignment horizontal="center" vertical="center"/>
    </xf>
    <xf numFmtId="172" fontId="0" fillId="0" borderId="21" xfId="0" applyNumberFormat="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22" fillId="8" borderId="11" xfId="0" applyFont="1" applyFill="1"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0" xfId="0" applyBorder="1" applyAlignment="1">
      <alignment horizontal="center" vertical="center"/>
    </xf>
    <xf numFmtId="0" fontId="21" fillId="0" borderId="0" xfId="0" applyFont="1" applyFill="1" applyAlignment="1">
      <alignment horizontal="left" vertical="center" indent="1"/>
    </xf>
    <xf numFmtId="0" fontId="17" fillId="5" borderId="11" xfId="0" applyFont="1" applyFill="1" applyBorder="1" applyAlignment="1">
      <alignment horizontal="center" vertical="center" wrapText="1"/>
    </xf>
    <xf numFmtId="172" fontId="18" fillId="6" borderId="11" xfId="0" applyNumberFormat="1" applyFont="1" applyFill="1" applyBorder="1" applyAlignment="1">
      <alignment horizontal="center" vertical="center"/>
    </xf>
    <xf numFmtId="172" fontId="19" fillId="6" borderId="11" xfId="0" applyNumberFormat="1" applyFont="1" applyFill="1" applyBorder="1" applyAlignment="1">
      <alignment horizontal="center" vertical="center"/>
    </xf>
    <xf numFmtId="0" fontId="21" fillId="5" borderId="0" xfId="0" applyFont="1" applyFill="1" applyAlignment="1">
      <alignment horizontal="left" vertical="center" indent="1"/>
    </xf>
    <xf numFmtId="0" fontId="20" fillId="7" borderId="11" xfId="0" applyFont="1" applyFill="1" applyBorder="1" applyAlignment="1">
      <alignment horizontal="center" vertical="center" wrapText="1"/>
    </xf>
  </cellXfs>
  <cellStyles count="3">
    <cellStyle name="Comma" xfId="1" builtinId="3"/>
    <cellStyle name="Hyperlink" xfId="2" builtinId="8"/>
    <cellStyle name="Normal" xfId="0" builtinId="0"/>
  </cellStyles>
  <dxfs count="24">
    <dxf>
      <font>
        <b/>
        <i val="0"/>
        <color rgb="FF990000"/>
      </font>
      <fill>
        <patternFill>
          <bgColor rgb="FFF4CCCC"/>
        </patternFill>
      </fill>
    </dxf>
    <dxf>
      <numFmt numFmtId="4" formatCode="#,##0.00"/>
    </dxf>
    <dxf>
      <font>
        <strike val="0"/>
        <outline val="0"/>
        <shadow val="0"/>
        <u val="none"/>
        <vertAlign val="baseline"/>
        <sz val="11"/>
        <color theme="0"/>
        <name val="Calibri"/>
        <family val="2"/>
        <scheme val="minor"/>
      </font>
      <fill>
        <patternFill patternType="solid">
          <fgColor indexed="64"/>
          <bgColor rgb="FF002060"/>
        </patternFill>
      </fill>
    </dxf>
    <dxf>
      <font>
        <b/>
        <i val="0"/>
        <color rgb="FF006100"/>
      </font>
      <fill>
        <patternFill>
          <bgColor rgb="FFE2F0D9"/>
        </patternFill>
      </fill>
    </dxf>
    <dxf>
      <font>
        <b/>
        <i val="0"/>
        <color rgb="FF006100"/>
      </font>
      <fill>
        <patternFill>
          <bgColor rgb="FFE2F0D9"/>
        </patternFill>
      </fill>
    </dxf>
    <dxf>
      <font>
        <b/>
        <i val="0"/>
        <color rgb="FF990000"/>
      </font>
      <fill>
        <patternFill>
          <bgColor rgb="FFF4CCCC"/>
        </patternFill>
      </fill>
    </dxf>
    <dxf>
      <font>
        <b/>
        <i val="0"/>
        <color rgb="FF006100"/>
      </font>
      <fill>
        <patternFill>
          <bgColor rgb="FFE2F0D9"/>
        </patternFill>
      </fill>
    </dxf>
    <dxf>
      <font>
        <b/>
        <i val="0"/>
        <color rgb="FF990000"/>
      </font>
      <fill>
        <patternFill>
          <bgColor rgb="FFF4CCCC"/>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
      <font>
        <b/>
        <i val="0"/>
        <color rgb="FF990000"/>
      </font>
      <fill>
        <patternFill>
          <bgColor rgb="FFF4CCCC"/>
        </patternFill>
      </fill>
    </dxf>
    <dxf>
      <font>
        <b/>
        <i val="0"/>
        <color rgb="FF38761D"/>
      </font>
      <fill>
        <patternFill>
          <fgColor rgb="FFE2F0D9"/>
          <bgColor rgb="FFE2F0D9"/>
        </patternFill>
      </fill>
    </dxf>
  </dxfs>
  <tableStyles count="0" defaultTableStyle="TableStyleMedium2" defaultPivotStyle="PivotStyleLight16"/>
  <colors>
    <mruColors>
      <color rgb="FFF0F4F8"/>
      <color rgb="FFE2F0D9"/>
      <color rgb="FF006100"/>
      <color rgb="FF0000FF"/>
      <color rgb="FFFFFFFF"/>
      <color rgb="FF990000"/>
      <color rgb="FFF4CCCC"/>
      <color rgb="FF3876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Standard vs. Actual Cost by Pool (₹)</a:t>
            </a:r>
          </a:p>
        </c:rich>
      </c:tx>
      <c:layout>
        <c:manualLayout>
          <c:xMode val="edge"/>
          <c:yMode val="edge"/>
          <c:x val="0.19820822397200349"/>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48359580052493"/>
          <c:y val="0.25967592592592598"/>
          <c:w val="0.78196084864391946"/>
          <c:h val="0.51327099737532811"/>
        </c:manualLayout>
      </c:layout>
      <c:barChart>
        <c:barDir val="col"/>
        <c:grouping val="clustered"/>
        <c:varyColors val="0"/>
        <c:ser>
          <c:idx val="0"/>
          <c:order val="0"/>
          <c:tx>
            <c:strRef>
              <c:f>'07_Management_Dashboard'!$B$9</c:f>
              <c:strCache>
                <c:ptCount val="1"/>
                <c:pt idx="0">
                  <c:v>Standard Cost (₹)</c:v>
                </c:pt>
              </c:strCache>
            </c:strRef>
          </c:tx>
          <c:spPr>
            <a:solidFill>
              <a:schemeClr val="accent1">
                <a:lumMod val="40000"/>
                <a:lumOff val="60000"/>
              </a:schemeClr>
            </a:solidFill>
            <a:ln>
              <a:noFill/>
            </a:ln>
            <a:effectLst/>
          </c:spPr>
          <c:invertIfNegative val="0"/>
          <c:cat>
            <c:strRef>
              <c:f>'07_Management_Dashboard'!$A$10:$A$13</c:f>
              <c:strCache>
                <c:ptCount val="4"/>
                <c:pt idx="0">
                  <c:v>Direct Materials (EVA &amp; Rubber)</c:v>
                </c:pt>
                <c:pt idx="1">
                  <c:v>Direct Labour (Moulding &amp; Assembly)</c:v>
                </c:pt>
                <c:pt idx="2">
                  <c:v>Variable Manufacturing Overhead (Power)</c:v>
                </c:pt>
                <c:pt idx="3">
                  <c:v>Fixed Manufacturing Overhead (Plant)</c:v>
                </c:pt>
              </c:strCache>
            </c:strRef>
          </c:cat>
          <c:val>
            <c:numRef>
              <c:f>'07_Management_Dashboard'!$B$10:$B$13</c:f>
              <c:numCache>
                <c:formatCode>\₹#,##0.00;"(₹"#,##0.00\);\-</c:formatCode>
                <c:ptCount val="4"/>
                <c:pt idx="0">
                  <c:v>3902400</c:v>
                </c:pt>
                <c:pt idx="1">
                  <c:v>1152000</c:v>
                </c:pt>
                <c:pt idx="2">
                  <c:v>432000</c:v>
                </c:pt>
                <c:pt idx="3">
                  <c:v>633600</c:v>
                </c:pt>
              </c:numCache>
            </c:numRef>
          </c:val>
          <c:extLst>
            <c:ext xmlns:c16="http://schemas.microsoft.com/office/drawing/2014/chart" uri="{C3380CC4-5D6E-409C-BE32-E72D297353CC}">
              <c16:uniqueId val="{00000000-A71E-4FEF-BC36-8F8266DCFC1D}"/>
            </c:ext>
          </c:extLst>
        </c:ser>
        <c:ser>
          <c:idx val="1"/>
          <c:order val="1"/>
          <c:tx>
            <c:strRef>
              <c:f>'07_Management_Dashboard'!$C$9</c:f>
              <c:strCache>
                <c:ptCount val="1"/>
                <c:pt idx="0">
                  <c:v>Actual Cost Incurred (₹)</c:v>
                </c:pt>
              </c:strCache>
            </c:strRef>
          </c:tx>
          <c:spPr>
            <a:solidFill>
              <a:srgbClr val="002060"/>
            </a:solidFill>
            <a:ln>
              <a:noFill/>
            </a:ln>
            <a:effectLst/>
          </c:spPr>
          <c:invertIfNegative val="0"/>
          <c:cat>
            <c:strRef>
              <c:f>'07_Management_Dashboard'!$A$10:$A$13</c:f>
              <c:strCache>
                <c:ptCount val="4"/>
                <c:pt idx="0">
                  <c:v>Direct Materials (EVA &amp; Rubber)</c:v>
                </c:pt>
                <c:pt idx="1">
                  <c:v>Direct Labour (Moulding &amp; Assembly)</c:v>
                </c:pt>
                <c:pt idx="2">
                  <c:v>Variable Manufacturing Overhead (Power)</c:v>
                </c:pt>
                <c:pt idx="3">
                  <c:v>Fixed Manufacturing Overhead (Plant)</c:v>
                </c:pt>
              </c:strCache>
            </c:strRef>
          </c:cat>
          <c:val>
            <c:numRef>
              <c:f>'07_Management_Dashboard'!$C$10:$C$13</c:f>
              <c:numCache>
                <c:formatCode>\₹#,##0.00;"(₹"#,##0.00\);\-</c:formatCode>
                <c:ptCount val="4"/>
                <c:pt idx="0">
                  <c:v>4006700</c:v>
                </c:pt>
                <c:pt idx="1">
                  <c:v>1196640</c:v>
                </c:pt>
                <c:pt idx="2">
                  <c:v>464310</c:v>
                </c:pt>
                <c:pt idx="3">
                  <c:v>672000</c:v>
                </c:pt>
              </c:numCache>
            </c:numRef>
          </c:val>
          <c:extLst>
            <c:ext xmlns:c16="http://schemas.microsoft.com/office/drawing/2014/chart" uri="{C3380CC4-5D6E-409C-BE32-E72D297353CC}">
              <c16:uniqueId val="{00000001-A71E-4FEF-BC36-8F8266DCFC1D}"/>
            </c:ext>
          </c:extLst>
        </c:ser>
        <c:dLbls>
          <c:showLegendKey val="0"/>
          <c:showVal val="0"/>
          <c:showCatName val="0"/>
          <c:showSerName val="0"/>
          <c:showPercent val="0"/>
          <c:showBubbleSize val="0"/>
        </c:dLbls>
        <c:gapWidth val="80"/>
        <c:overlap val="-27"/>
        <c:axId val="969334527"/>
        <c:axId val="969335775"/>
      </c:barChart>
      <c:catAx>
        <c:axId val="96933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9335775"/>
        <c:crosses val="autoZero"/>
        <c:auto val="1"/>
        <c:lblAlgn val="ctr"/>
        <c:lblOffset val="100"/>
        <c:noMultiLvlLbl val="0"/>
      </c:catAx>
      <c:valAx>
        <c:axId val="969335775"/>
        <c:scaling>
          <c:orientation val="minMax"/>
        </c:scaling>
        <c:delete val="0"/>
        <c:axPos val="l"/>
        <c:numFmt formatCode="\₹#,##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9334527"/>
        <c:crosses val="autoZero"/>
        <c:crossBetween val="between"/>
      </c:valAx>
      <c:spPr>
        <a:noFill/>
        <a:ln w="25400">
          <a:noFill/>
        </a:ln>
        <a:effectLst/>
      </c:spPr>
    </c:plotArea>
    <c:legend>
      <c:legendPos val="b"/>
      <c:layout>
        <c:manualLayout>
          <c:xMode val="edge"/>
          <c:yMode val="edge"/>
          <c:x val="0.39265310586176727"/>
          <c:y val="0.14872630504520273"/>
          <c:w val="0.45366708423308677"/>
          <c:h val="7.75005587052791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baseline="0">
                <a:effectLst/>
              </a:rPr>
              <a:t>Rate/Price vs. Usage/Efficiency Variances (₹)</a:t>
            </a:r>
            <a:endParaRPr lang="en-IN" sz="1100">
              <a:effectLst/>
            </a:endParaRPr>
          </a:p>
        </c:rich>
      </c:tx>
      <c:layout>
        <c:manualLayout>
          <c:xMode val="edge"/>
          <c:yMode val="edge"/>
          <c:x val="0.1235277777777777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8919203849518809"/>
          <c:y val="0.17171296296296296"/>
          <c:w val="0.78025240594925638"/>
          <c:h val="0.63268409157188699"/>
        </c:manualLayout>
      </c:layout>
      <c:barChart>
        <c:barDir val="col"/>
        <c:grouping val="clustered"/>
        <c:varyColors val="0"/>
        <c:ser>
          <c:idx val="0"/>
          <c:order val="0"/>
          <c:tx>
            <c:strRef>
              <c:f>'07_Management_Dashboard'!$D$9</c:f>
              <c:strCache>
                <c:ptCount val="1"/>
                <c:pt idx="0">
                  <c:v>Price / Rate / Variance (₹)</c:v>
                </c:pt>
              </c:strCache>
            </c:strRef>
          </c:tx>
          <c:spPr>
            <a:solidFill>
              <a:schemeClr val="bg2">
                <a:lumMod val="75000"/>
              </a:schemeClr>
            </a:solidFill>
            <a:ln>
              <a:noFill/>
            </a:ln>
            <a:effectLst/>
          </c:spPr>
          <c:invertIfNegative val="0"/>
          <c:cat>
            <c:strRef>
              <c:f>'07_Management_Dashboard'!$A$10:$A$13</c:f>
              <c:strCache>
                <c:ptCount val="4"/>
                <c:pt idx="0">
                  <c:v>Direct Materials (EVA &amp; Rubber)</c:v>
                </c:pt>
                <c:pt idx="1">
                  <c:v>Direct Labour (Moulding &amp; Assembly)</c:v>
                </c:pt>
                <c:pt idx="2">
                  <c:v>Variable Manufacturing Overhead (Power)</c:v>
                </c:pt>
                <c:pt idx="3">
                  <c:v>Fixed Manufacturing Overhead (Plant)</c:v>
                </c:pt>
              </c:strCache>
            </c:strRef>
          </c:cat>
          <c:val>
            <c:numRef>
              <c:f>'07_Management_Dashboard'!$D$10:$D$13</c:f>
              <c:numCache>
                <c:formatCode>\₹#,##0.00;"(₹"#,##0.00\);\-</c:formatCode>
                <c:ptCount val="4"/>
                <c:pt idx="0">
                  <c:v>-43700</c:v>
                </c:pt>
                <c:pt idx="1">
                  <c:v>8460</c:v>
                </c:pt>
                <c:pt idx="2">
                  <c:v>-12060</c:v>
                </c:pt>
                <c:pt idx="3">
                  <c:v>-12000</c:v>
                </c:pt>
              </c:numCache>
            </c:numRef>
          </c:val>
          <c:extLst>
            <c:ext xmlns:c16="http://schemas.microsoft.com/office/drawing/2014/chart" uri="{C3380CC4-5D6E-409C-BE32-E72D297353CC}">
              <c16:uniqueId val="{00000000-6D6A-4D9A-BB63-70D4F952B51B}"/>
            </c:ext>
          </c:extLst>
        </c:ser>
        <c:ser>
          <c:idx val="1"/>
          <c:order val="1"/>
          <c:tx>
            <c:strRef>
              <c:f>'07_Management_Dashboard'!$E$9</c:f>
              <c:strCache>
                <c:ptCount val="1"/>
                <c:pt idx="0">
                  <c:v>Usage / Efficiency / Volume Variance (₹)</c:v>
                </c:pt>
              </c:strCache>
            </c:strRef>
          </c:tx>
          <c:spPr>
            <a:solidFill>
              <a:schemeClr val="accent1">
                <a:lumMod val="40000"/>
                <a:lumOff val="60000"/>
              </a:schemeClr>
            </a:solidFill>
            <a:ln>
              <a:noFill/>
            </a:ln>
            <a:effectLst/>
          </c:spPr>
          <c:invertIfNegative val="0"/>
          <c:cat>
            <c:strRef>
              <c:f>'07_Management_Dashboard'!$A$10:$A$13</c:f>
              <c:strCache>
                <c:ptCount val="4"/>
                <c:pt idx="0">
                  <c:v>Direct Materials (EVA &amp; Rubber)</c:v>
                </c:pt>
                <c:pt idx="1">
                  <c:v>Direct Labour (Moulding &amp; Assembly)</c:v>
                </c:pt>
                <c:pt idx="2">
                  <c:v>Variable Manufacturing Overhead (Power)</c:v>
                </c:pt>
                <c:pt idx="3">
                  <c:v>Fixed Manufacturing Overhead (Plant)</c:v>
                </c:pt>
              </c:strCache>
            </c:strRef>
          </c:cat>
          <c:val>
            <c:numRef>
              <c:f>'07_Management_Dashboard'!$E$10:$E$13</c:f>
              <c:numCache>
                <c:formatCode>\₹#,##0.00;"(₹"#,##0.00\);\-</c:formatCode>
                <c:ptCount val="4"/>
                <c:pt idx="0">
                  <c:v>-60600</c:v>
                </c:pt>
                <c:pt idx="1">
                  <c:v>-53100</c:v>
                </c:pt>
                <c:pt idx="2">
                  <c:v>-20250</c:v>
                </c:pt>
                <c:pt idx="3">
                  <c:v>-26400</c:v>
                </c:pt>
              </c:numCache>
            </c:numRef>
          </c:val>
          <c:extLst>
            <c:ext xmlns:c16="http://schemas.microsoft.com/office/drawing/2014/chart" uri="{C3380CC4-5D6E-409C-BE32-E72D297353CC}">
              <c16:uniqueId val="{00000001-6D6A-4D9A-BB63-70D4F952B51B}"/>
            </c:ext>
          </c:extLst>
        </c:ser>
        <c:ser>
          <c:idx val="2"/>
          <c:order val="2"/>
          <c:tx>
            <c:strRef>
              <c:f>'07_Management_Dashboard'!$F$9</c:f>
              <c:strCache>
                <c:ptCount val="1"/>
                <c:pt idx="0">
                  <c:v>Total Net Variance (₹)</c:v>
                </c:pt>
              </c:strCache>
            </c:strRef>
          </c:tx>
          <c:spPr>
            <a:solidFill>
              <a:srgbClr val="002060"/>
            </a:solidFill>
            <a:ln>
              <a:noFill/>
            </a:ln>
            <a:effectLst/>
          </c:spPr>
          <c:invertIfNegative val="0"/>
          <c:cat>
            <c:strRef>
              <c:f>'07_Management_Dashboard'!$A$10:$A$13</c:f>
              <c:strCache>
                <c:ptCount val="4"/>
                <c:pt idx="0">
                  <c:v>Direct Materials (EVA &amp; Rubber)</c:v>
                </c:pt>
                <c:pt idx="1">
                  <c:v>Direct Labour (Moulding &amp; Assembly)</c:v>
                </c:pt>
                <c:pt idx="2">
                  <c:v>Variable Manufacturing Overhead (Power)</c:v>
                </c:pt>
                <c:pt idx="3">
                  <c:v>Fixed Manufacturing Overhead (Plant)</c:v>
                </c:pt>
              </c:strCache>
            </c:strRef>
          </c:cat>
          <c:val>
            <c:numRef>
              <c:f>'07_Management_Dashboard'!$F$10:$F$13</c:f>
              <c:numCache>
                <c:formatCode>\₹#,##0.00;"(₹"#,##0.00\);\-</c:formatCode>
                <c:ptCount val="4"/>
                <c:pt idx="0">
                  <c:v>-104300</c:v>
                </c:pt>
                <c:pt idx="1">
                  <c:v>-44640</c:v>
                </c:pt>
                <c:pt idx="2">
                  <c:v>-32310</c:v>
                </c:pt>
                <c:pt idx="3">
                  <c:v>-38400</c:v>
                </c:pt>
              </c:numCache>
            </c:numRef>
          </c:val>
          <c:extLst>
            <c:ext xmlns:c16="http://schemas.microsoft.com/office/drawing/2014/chart" uri="{C3380CC4-5D6E-409C-BE32-E72D297353CC}">
              <c16:uniqueId val="{00000002-6D6A-4D9A-BB63-70D4F952B51B}"/>
            </c:ext>
          </c:extLst>
        </c:ser>
        <c:dLbls>
          <c:showLegendKey val="0"/>
          <c:showVal val="0"/>
          <c:showCatName val="0"/>
          <c:showSerName val="0"/>
          <c:showPercent val="0"/>
          <c:showBubbleSize val="0"/>
        </c:dLbls>
        <c:gapWidth val="20"/>
        <c:overlap val="-27"/>
        <c:axId val="462879871"/>
        <c:axId val="462885279"/>
      </c:barChart>
      <c:catAx>
        <c:axId val="4628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2885279"/>
        <c:crosses val="autoZero"/>
        <c:auto val="1"/>
        <c:lblAlgn val="ctr"/>
        <c:lblOffset val="100"/>
        <c:noMultiLvlLbl val="0"/>
      </c:catAx>
      <c:valAx>
        <c:axId val="462885279"/>
        <c:scaling>
          <c:orientation val="minMax"/>
        </c:scaling>
        <c:delete val="0"/>
        <c:axPos val="l"/>
        <c:majorGridlines>
          <c:spPr>
            <a:ln w="9525" cap="flat" cmpd="sng" algn="ctr">
              <a:solidFill>
                <a:schemeClr val="tx1">
                  <a:lumMod val="15000"/>
                  <a:lumOff val="85000"/>
                </a:schemeClr>
              </a:solidFill>
              <a:round/>
            </a:ln>
            <a:effectLst/>
          </c:spPr>
        </c:majorGridlines>
        <c:numFmt formatCode="\₹#,##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287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99060</xdr:colOff>
      <xdr:row>15</xdr:row>
      <xdr:rowOff>30480</xdr:rowOff>
    </xdr:from>
    <xdr:to>
      <xdr:col>3</xdr:col>
      <xdr:colOff>800100</xdr:colOff>
      <xdr:row>30</xdr:row>
      <xdr:rowOff>30480</xdr:rowOff>
    </xdr:to>
    <xdr:graphicFrame macro="">
      <xdr:nvGraphicFramePr>
        <xdr:cNvPr id="3" name="Chart 2">
          <a:extLst>
            <a:ext uri="{FF2B5EF4-FFF2-40B4-BE49-F238E27FC236}">
              <a16:creationId xmlns:a16="http://schemas.microsoft.com/office/drawing/2014/main" id="{CB4BA4EB-8683-4A96-971E-A42B70034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931332</xdr:colOff>
      <xdr:row>15</xdr:row>
      <xdr:rowOff>22861</xdr:rowOff>
    </xdr:from>
    <xdr:to>
      <xdr:col>7</xdr:col>
      <xdr:colOff>1196339</xdr:colOff>
      <xdr:row>30</xdr:row>
      <xdr:rowOff>94076</xdr:rowOff>
    </xdr:to>
    <xdr:graphicFrame macro="">
      <xdr:nvGraphicFramePr>
        <xdr:cNvPr id="4" name="Chart 3">
          <a:extLst>
            <a:ext uri="{FF2B5EF4-FFF2-40B4-BE49-F238E27FC236}">
              <a16:creationId xmlns:a16="http://schemas.microsoft.com/office/drawing/2014/main" id="{5A083EBA-DF99-4E7C-A8D4-F3BA12E5E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F54AA-BC39-42D5-AF41-8A9184A97082}" name="Table1" displayName="Table1" ref="B33:C38" totalsRowShown="0" headerRowDxfId="2">
  <autoFilter ref="B33:C38" xr:uid="{053F54AA-BC39-42D5-AF41-8A9184A97082}"/>
  <tableColumns count="2">
    <tableColumn id="1" xr3:uid="{3C7445BD-5CCE-4E85-9059-96D0D7EF8FF2}" name="RECONCILIATION CHECK"/>
    <tableColumn id="2" xr3:uid="{B7723497-FB3C-48EC-A0BF-DC6407ED8488}" name="Result (₹)"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seindia.com/xml-data/corpfiling/AttachHis/15ff658f-2958-4827-a157-d3aca6a81101.pdf" TargetMode="External"/><Relationship Id="rId1" Type="http://schemas.openxmlformats.org/officeDocument/2006/relationships/hyperlink" Target="https://nsearchives.nseindia.com/corporate/RELAXO_28052026192756_Investor_Presentation_Audited_Financial_Result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279E-556B-494C-9347-842E7EF14D0C}">
  <dimension ref="A1:S32"/>
  <sheetViews>
    <sheetView tabSelected="1" zoomScaleNormal="100" workbookViewId="0">
      <selection sqref="A1:L1"/>
    </sheetView>
  </sheetViews>
  <sheetFormatPr defaultRowHeight="14.4" x14ac:dyDescent="0.3"/>
  <cols>
    <col min="1" max="1" width="23.33203125" bestFit="1" customWidth="1"/>
    <col min="2" max="2" width="58.6640625" customWidth="1"/>
  </cols>
  <sheetData>
    <row r="1" spans="1:19" ht="31.2" x14ac:dyDescent="0.6">
      <c r="A1" s="181" t="s">
        <v>300</v>
      </c>
      <c r="B1" s="181"/>
      <c r="C1" s="181"/>
      <c r="D1" s="181"/>
      <c r="E1" s="181"/>
      <c r="F1" s="181"/>
      <c r="G1" s="181"/>
      <c r="H1" s="181"/>
      <c r="I1" s="181"/>
      <c r="J1" s="181"/>
      <c r="K1" s="181"/>
      <c r="L1" s="181"/>
      <c r="M1" s="100"/>
      <c r="N1" s="100"/>
      <c r="O1" s="100"/>
      <c r="P1" s="12"/>
      <c r="Q1" s="12"/>
      <c r="R1" s="12"/>
      <c r="S1" s="12"/>
    </row>
    <row r="2" spans="1:19" s="12" customFormat="1" ht="15.6" x14ac:dyDescent="0.3">
      <c r="A2" s="180" t="s">
        <v>301</v>
      </c>
      <c r="B2" s="180"/>
      <c r="C2" s="180"/>
      <c r="D2" s="180"/>
      <c r="E2" s="180"/>
      <c r="F2" s="180"/>
      <c r="G2" s="180"/>
      <c r="H2" s="180"/>
      <c r="I2" s="180"/>
      <c r="J2" s="180"/>
      <c r="K2" s="180"/>
      <c r="L2" s="180"/>
      <c r="M2" s="101"/>
      <c r="N2" s="101"/>
      <c r="O2" s="101"/>
      <c r="P2" s="101"/>
      <c r="Q2" s="101"/>
      <c r="R2" s="101"/>
      <c r="S2" s="101"/>
    </row>
    <row r="4" spans="1:19" x14ac:dyDescent="0.3">
      <c r="A4" s="14" t="s">
        <v>302</v>
      </c>
    </row>
    <row r="5" spans="1:19" x14ac:dyDescent="0.3">
      <c r="A5" s="98" t="s">
        <v>303</v>
      </c>
      <c r="B5" s="99" t="s">
        <v>304</v>
      </c>
    </row>
    <row r="6" spans="1:19" x14ac:dyDescent="0.3">
      <c r="A6" s="96" t="s">
        <v>305</v>
      </c>
      <c r="B6" s="97" t="s">
        <v>306</v>
      </c>
    </row>
    <row r="7" spans="1:19" x14ac:dyDescent="0.3">
      <c r="A7" s="98" t="s">
        <v>307</v>
      </c>
      <c r="B7" s="99" t="s">
        <v>308</v>
      </c>
    </row>
    <row r="8" spans="1:19" x14ac:dyDescent="0.3">
      <c r="A8" s="96" t="s">
        <v>309</v>
      </c>
      <c r="B8" s="97" t="s">
        <v>322</v>
      </c>
    </row>
    <row r="9" spans="1:19" x14ac:dyDescent="0.3">
      <c r="A9" s="98" t="s">
        <v>324</v>
      </c>
      <c r="B9" s="99" t="s">
        <v>327</v>
      </c>
    </row>
    <row r="10" spans="1:19" x14ac:dyDescent="0.3">
      <c r="A10" s="96" t="s">
        <v>326</v>
      </c>
      <c r="B10" s="97" t="s">
        <v>341</v>
      </c>
    </row>
    <row r="11" spans="1:19" x14ac:dyDescent="0.3">
      <c r="A11" s="98" t="s">
        <v>325</v>
      </c>
      <c r="B11" s="99" t="s">
        <v>323</v>
      </c>
    </row>
    <row r="12" spans="1:19" x14ac:dyDescent="0.3">
      <c r="A12" s="96" t="s">
        <v>310</v>
      </c>
      <c r="B12" s="97" t="s">
        <v>311</v>
      </c>
    </row>
    <row r="13" spans="1:19" x14ac:dyDescent="0.3">
      <c r="A13" s="98" t="s">
        <v>312</v>
      </c>
      <c r="B13" s="99" t="s">
        <v>313</v>
      </c>
    </row>
    <row r="14" spans="1:19" x14ac:dyDescent="0.3">
      <c r="A14" s="96" t="s">
        <v>314</v>
      </c>
      <c r="B14" s="97" t="s">
        <v>315</v>
      </c>
    </row>
    <row r="16" spans="1:19" x14ac:dyDescent="0.3">
      <c r="A16" s="179" t="s">
        <v>316</v>
      </c>
      <c r="B16" s="179"/>
      <c r="C16" s="179"/>
      <c r="D16" s="179"/>
      <c r="E16" s="179"/>
      <c r="F16" s="179"/>
      <c r="G16" s="179"/>
      <c r="H16" s="179"/>
      <c r="I16" s="179"/>
      <c r="J16" s="179"/>
      <c r="K16" s="179"/>
      <c r="L16" s="179"/>
    </row>
    <row r="17" spans="1:12" ht="14.4" customHeight="1" x14ac:dyDescent="0.3">
      <c r="A17" s="182" t="s">
        <v>317</v>
      </c>
      <c r="B17" s="182"/>
      <c r="C17" s="182"/>
      <c r="D17" s="182"/>
      <c r="E17" s="182"/>
      <c r="F17" s="182"/>
      <c r="G17" s="182"/>
      <c r="H17" s="182"/>
      <c r="I17" s="182"/>
      <c r="J17" s="182"/>
      <c r="K17" s="182"/>
      <c r="L17" s="182"/>
    </row>
    <row r="18" spans="1:12" x14ac:dyDescent="0.3">
      <c r="A18" s="182"/>
      <c r="B18" s="182"/>
      <c r="C18" s="182"/>
      <c r="D18" s="182"/>
      <c r="E18" s="182"/>
      <c r="F18" s="182"/>
      <c r="G18" s="182"/>
      <c r="H18" s="182"/>
      <c r="I18" s="182"/>
      <c r="J18" s="182"/>
      <c r="K18" s="182"/>
      <c r="L18" s="182"/>
    </row>
    <row r="20" spans="1:12" x14ac:dyDescent="0.3">
      <c r="A20" s="179" t="s">
        <v>318</v>
      </c>
      <c r="B20" s="179"/>
      <c r="C20" s="179"/>
      <c r="D20" s="179"/>
      <c r="E20" s="179"/>
      <c r="F20" s="179"/>
      <c r="G20" s="179"/>
      <c r="H20" s="179"/>
      <c r="I20" s="179"/>
      <c r="J20" s="179"/>
      <c r="K20" s="179"/>
      <c r="L20" s="179"/>
    </row>
    <row r="21" spans="1:12" ht="14.4" customHeight="1" x14ac:dyDescent="0.3">
      <c r="A21" s="182" t="s">
        <v>319</v>
      </c>
      <c r="B21" s="182"/>
      <c r="C21" s="182"/>
      <c r="D21" s="182"/>
      <c r="E21" s="182"/>
      <c r="F21" s="182"/>
      <c r="G21" s="182"/>
      <c r="H21" s="182"/>
      <c r="I21" s="182"/>
      <c r="J21" s="182"/>
      <c r="K21" s="182"/>
      <c r="L21" s="182"/>
    </row>
    <row r="22" spans="1:12" x14ac:dyDescent="0.3">
      <c r="A22" s="182"/>
      <c r="B22" s="182"/>
      <c r="C22" s="182"/>
      <c r="D22" s="182"/>
      <c r="E22" s="182"/>
      <c r="F22" s="182"/>
      <c r="G22" s="182"/>
      <c r="H22" s="182"/>
      <c r="I22" s="182"/>
      <c r="J22" s="182"/>
      <c r="K22" s="182"/>
      <c r="L22" s="182"/>
    </row>
    <row r="24" spans="1:12" x14ac:dyDescent="0.3">
      <c r="A24" s="179" t="s">
        <v>342</v>
      </c>
      <c r="B24" s="179"/>
      <c r="C24" s="179"/>
      <c r="D24" s="179"/>
      <c r="E24" s="179"/>
      <c r="F24" s="179"/>
      <c r="G24" s="179"/>
      <c r="H24" s="179"/>
      <c r="I24" s="179"/>
      <c r="J24" s="179"/>
      <c r="K24" s="179"/>
      <c r="L24" s="179"/>
    </row>
    <row r="25" spans="1:12" x14ac:dyDescent="0.3">
      <c r="A25" s="102" t="s">
        <v>320</v>
      </c>
    </row>
    <row r="26" spans="1:12" x14ac:dyDescent="0.3">
      <c r="A26" s="102" t="s">
        <v>321</v>
      </c>
    </row>
    <row r="28" spans="1:12" x14ac:dyDescent="0.3">
      <c r="A28" s="179" t="s">
        <v>328</v>
      </c>
      <c r="B28" s="179"/>
      <c r="C28" s="179"/>
      <c r="D28" s="179"/>
      <c r="E28" s="179"/>
      <c r="F28" s="179"/>
      <c r="G28" s="179"/>
      <c r="H28" s="179"/>
      <c r="I28" s="179"/>
      <c r="J28" s="179"/>
      <c r="K28" s="179"/>
      <c r="L28" s="179"/>
    </row>
    <row r="29" spans="1:12" x14ac:dyDescent="0.3">
      <c r="A29" s="103" t="s">
        <v>329</v>
      </c>
      <c r="B29" s="104" t="s">
        <v>332</v>
      </c>
    </row>
    <row r="30" spans="1:12" x14ac:dyDescent="0.3">
      <c r="A30" s="96" t="s">
        <v>330</v>
      </c>
      <c r="B30" s="104" t="s">
        <v>333</v>
      </c>
    </row>
    <row r="31" spans="1:12" x14ac:dyDescent="0.3">
      <c r="A31" s="105" t="s">
        <v>331</v>
      </c>
      <c r="B31" s="104" t="s">
        <v>334</v>
      </c>
    </row>
    <row r="32" spans="1:12" x14ac:dyDescent="0.3">
      <c r="A32" s="106" t="s">
        <v>335</v>
      </c>
      <c r="B32" s="104" t="s">
        <v>336</v>
      </c>
    </row>
  </sheetData>
  <mergeCells count="8">
    <mergeCell ref="A24:L24"/>
    <mergeCell ref="A28:L28"/>
    <mergeCell ref="A2:L2"/>
    <mergeCell ref="A1:L1"/>
    <mergeCell ref="A16:L16"/>
    <mergeCell ref="A17:L18"/>
    <mergeCell ref="A20:L20"/>
    <mergeCell ref="A21:L22"/>
  </mergeCells>
  <hyperlinks>
    <hyperlink ref="A25" r:id="rId1" xr:uid="{B02F76E9-3888-4447-89A2-DAE48414DA88}"/>
    <hyperlink ref="A26" r:id="rId2" xr:uid="{59179BAB-3C42-438D-BE3A-3A329BB6A0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F4ED-B41A-4971-812C-25BEB3F6F1A4}">
  <dimension ref="A1:I36"/>
  <sheetViews>
    <sheetView showGridLines="0" zoomScaleNormal="100" workbookViewId="0">
      <selection sqref="A1:I1"/>
    </sheetView>
  </sheetViews>
  <sheetFormatPr defaultRowHeight="14.4" x14ac:dyDescent="0.3"/>
  <cols>
    <col min="1" max="1" width="48.33203125" customWidth="1"/>
    <col min="2" max="2" width="56.77734375" customWidth="1"/>
    <col min="3" max="3" width="15.109375" style="2" bestFit="1" customWidth="1"/>
    <col min="4" max="4" width="12.88671875" style="2" bestFit="1" customWidth="1"/>
    <col min="5" max="5" width="22" style="1" bestFit="1" customWidth="1"/>
    <col min="6" max="6" width="106" customWidth="1"/>
    <col min="7" max="7" width="62.6640625" customWidth="1"/>
  </cols>
  <sheetData>
    <row r="1" spans="1:9" s="93" customFormat="1" ht="23.4" x14ac:dyDescent="0.45">
      <c r="A1" s="183" t="s">
        <v>344</v>
      </c>
      <c r="B1" s="183"/>
      <c r="C1" s="183"/>
      <c r="D1" s="183"/>
      <c r="E1" s="183"/>
      <c r="F1" s="183"/>
      <c r="G1" s="183"/>
      <c r="H1" s="183"/>
      <c r="I1" s="183"/>
    </row>
    <row r="3" spans="1:9" s="95" customFormat="1" ht="24" customHeight="1" x14ac:dyDescent="0.3">
      <c r="A3" s="63" t="s">
        <v>0</v>
      </c>
      <c r="B3" s="63" t="s">
        <v>1</v>
      </c>
      <c r="C3" s="64" t="s">
        <v>2</v>
      </c>
      <c r="D3" s="64" t="s">
        <v>3</v>
      </c>
      <c r="E3" s="65" t="s">
        <v>4</v>
      </c>
      <c r="F3" s="94"/>
    </row>
    <row r="4" spans="1:9" ht="24" customHeight="1" x14ac:dyDescent="0.3">
      <c r="A4" s="18" t="s">
        <v>5</v>
      </c>
      <c r="B4" s="28" t="s">
        <v>6</v>
      </c>
      <c r="C4" s="67">
        <v>17.8</v>
      </c>
      <c r="D4" s="67">
        <v>17.5</v>
      </c>
      <c r="E4" s="42">
        <f>D4/C4-1</f>
        <v>-1.6853932584269704E-2</v>
      </c>
    </row>
    <row r="5" spans="1:9" ht="24" customHeight="1" x14ac:dyDescent="0.3">
      <c r="A5" s="18" t="s">
        <v>8</v>
      </c>
      <c r="B5" s="68" t="s">
        <v>7</v>
      </c>
      <c r="C5" s="67">
        <v>156</v>
      </c>
      <c r="D5" s="67">
        <v>153</v>
      </c>
      <c r="E5" s="42">
        <f>D5/C5-1</f>
        <v>-1.9230769230769273E-2</v>
      </c>
    </row>
    <row r="6" spans="1:9" ht="24" customHeight="1" x14ac:dyDescent="0.3">
      <c r="A6" s="18" t="s">
        <v>9</v>
      </c>
      <c r="B6" s="28" t="s">
        <v>10</v>
      </c>
      <c r="C6" s="67">
        <v>2789.61</v>
      </c>
      <c r="D6" s="67">
        <v>2702.16</v>
      </c>
      <c r="E6" s="42">
        <f>D6/C6-1</f>
        <v>-3.134846806542857E-2</v>
      </c>
    </row>
    <row r="7" spans="1:9" ht="24" customHeight="1" x14ac:dyDescent="0.3">
      <c r="A7" s="18" t="s">
        <v>11</v>
      </c>
      <c r="B7" s="28" t="s">
        <v>10</v>
      </c>
      <c r="C7" s="67">
        <v>1037.83</v>
      </c>
      <c r="D7" s="67">
        <v>990.96</v>
      </c>
      <c r="E7" s="42">
        <f>D7/C7-1</f>
        <v>-4.5161538980372451E-2</v>
      </c>
    </row>
    <row r="8" spans="1:9" ht="24" customHeight="1" x14ac:dyDescent="0.3">
      <c r="A8" s="18" t="s">
        <v>12</v>
      </c>
      <c r="B8" s="28" t="s">
        <v>10</v>
      </c>
      <c r="C8" s="67">
        <v>105.57</v>
      </c>
      <c r="D8" s="67">
        <v>106.06</v>
      </c>
      <c r="E8" s="42">
        <f t="shared" ref="E8:E18" si="0">D8/C8-1</f>
        <v>4.6414701146160198E-3</v>
      </c>
    </row>
    <row r="9" spans="1:9" ht="24" customHeight="1" x14ac:dyDescent="0.3">
      <c r="A9" s="18" t="s">
        <v>13</v>
      </c>
      <c r="B9" s="28" t="s">
        <v>10</v>
      </c>
      <c r="C9" s="67">
        <v>5.53</v>
      </c>
      <c r="D9" s="67">
        <v>6.01</v>
      </c>
      <c r="E9" s="42">
        <f t="shared" si="0"/>
        <v>8.6799276672694381E-2</v>
      </c>
    </row>
    <row r="10" spans="1:9" ht="24" customHeight="1" x14ac:dyDescent="0.3">
      <c r="A10" s="18" t="s">
        <v>14</v>
      </c>
      <c r="B10" s="28" t="s">
        <v>10</v>
      </c>
      <c r="C10" s="67">
        <v>400.55</v>
      </c>
      <c r="D10" s="67">
        <v>411.81</v>
      </c>
      <c r="E10" s="42">
        <f t="shared" si="0"/>
        <v>2.8111346898015199E-2</v>
      </c>
    </row>
    <row r="11" spans="1:9" ht="24" customHeight="1" x14ac:dyDescent="0.3">
      <c r="A11" s="18" t="s">
        <v>15</v>
      </c>
      <c r="B11" s="28" t="s">
        <v>10</v>
      </c>
      <c r="C11" s="67">
        <v>158.43</v>
      </c>
      <c r="D11" s="67">
        <v>157.19999999999999</v>
      </c>
      <c r="E11" s="42">
        <f t="shared" si="0"/>
        <v>-7.763681120999899E-3</v>
      </c>
    </row>
    <row r="12" spans="1:9" ht="24" customHeight="1" x14ac:dyDescent="0.3">
      <c r="A12" s="18" t="s">
        <v>16</v>
      </c>
      <c r="B12" s="28" t="s">
        <v>10</v>
      </c>
      <c r="C12" s="67">
        <v>858.13</v>
      </c>
      <c r="D12" s="67">
        <v>813.34</v>
      </c>
      <c r="E12" s="42">
        <f t="shared" si="0"/>
        <v>-5.2194888886299196E-2</v>
      </c>
    </row>
    <row r="13" spans="1:9" ht="24" customHeight="1" x14ac:dyDescent="0.3">
      <c r="A13" s="18" t="s">
        <v>57</v>
      </c>
      <c r="B13" s="28" t="s">
        <v>10</v>
      </c>
      <c r="C13" s="67">
        <v>382</v>
      </c>
      <c r="D13" s="67">
        <v>373.98</v>
      </c>
      <c r="E13" s="42">
        <f t="shared" si="0"/>
        <v>-2.0994764397905707E-2</v>
      </c>
    </row>
    <row r="14" spans="1:9" ht="24" customHeight="1" thickBot="1" x14ac:dyDescent="0.35">
      <c r="A14" s="45" t="s">
        <v>17</v>
      </c>
      <c r="B14" s="69" t="s">
        <v>7</v>
      </c>
      <c r="C14" s="70">
        <f>C6/C4</f>
        <v>156.71966292134832</v>
      </c>
      <c r="D14" s="70">
        <f>D6/D4</f>
        <v>154.40914285714285</v>
      </c>
      <c r="E14" s="71">
        <f t="shared" si="0"/>
        <v>-1.4743013232264457E-2</v>
      </c>
    </row>
    <row r="15" spans="1:9" ht="24" customHeight="1" thickBot="1" x14ac:dyDescent="0.35">
      <c r="A15" s="56" t="s">
        <v>18</v>
      </c>
      <c r="B15" s="72" t="s">
        <v>7</v>
      </c>
      <c r="C15" s="73">
        <f>C7/C4</f>
        <v>58.305056179775278</v>
      </c>
      <c r="D15" s="73">
        <f>D7/D4</f>
        <v>56.626285714285714</v>
      </c>
      <c r="E15" s="74">
        <f t="shared" si="0"/>
        <v>-2.8792879648607439E-2</v>
      </c>
    </row>
    <row r="16" spans="1:9" ht="24" customHeight="1" thickBot="1" x14ac:dyDescent="0.35">
      <c r="A16" s="56" t="s">
        <v>19</v>
      </c>
      <c r="B16" s="75" t="s">
        <v>22</v>
      </c>
      <c r="C16" s="74">
        <f>C7/C6</f>
        <v>0.37203408361742318</v>
      </c>
      <c r="D16" s="74">
        <f>D7/D6</f>
        <v>0.36672883915090154</v>
      </c>
      <c r="E16" s="74">
        <f t="shared" si="0"/>
        <v>-1.4260103308107674E-2</v>
      </c>
    </row>
    <row r="17" spans="1:6" ht="24" customHeight="1" thickBot="1" x14ac:dyDescent="0.35">
      <c r="A17" s="56" t="s">
        <v>20</v>
      </c>
      <c r="B17" s="72" t="s">
        <v>7</v>
      </c>
      <c r="C17" s="73">
        <f>C10/C4</f>
        <v>22.502808988764045</v>
      </c>
      <c r="D17" s="73">
        <f>D10/D4</f>
        <v>23.532</v>
      </c>
      <c r="E17" s="74">
        <f t="shared" si="0"/>
        <v>4.5736112844838361E-2</v>
      </c>
    </row>
    <row r="18" spans="1:6" ht="24" customHeight="1" thickBot="1" x14ac:dyDescent="0.35">
      <c r="A18" s="57" t="s">
        <v>21</v>
      </c>
      <c r="B18" s="76" t="s">
        <v>7</v>
      </c>
      <c r="C18" s="77">
        <f>C11/C4</f>
        <v>8.9005617977528093</v>
      </c>
      <c r="D18" s="77">
        <f>D11/D4</f>
        <v>8.9828571428571422</v>
      </c>
      <c r="E18" s="78">
        <f t="shared" si="0"/>
        <v>9.2460843454971187E-3</v>
      </c>
    </row>
    <row r="19" spans="1:6" ht="15" thickTop="1" x14ac:dyDescent="0.3"/>
    <row r="21" spans="1:6" ht="21" x14ac:dyDescent="0.4">
      <c r="A21" s="116" t="s">
        <v>343</v>
      </c>
    </row>
    <row r="22" spans="1:6" s="7" customFormat="1" ht="24" customHeight="1" x14ac:dyDescent="0.3">
      <c r="A22" s="113" t="s">
        <v>26</v>
      </c>
      <c r="B22" s="113" t="s">
        <v>23</v>
      </c>
      <c r="C22" s="114" t="s">
        <v>24</v>
      </c>
      <c r="D22" s="114" t="s">
        <v>1</v>
      </c>
      <c r="E22" s="115" t="s">
        <v>25</v>
      </c>
      <c r="F22" s="113" t="s">
        <v>69</v>
      </c>
    </row>
    <row r="23" spans="1:6" ht="24" customHeight="1" x14ac:dyDescent="0.3">
      <c r="A23" s="107" t="s">
        <v>27</v>
      </c>
      <c r="B23" s="90" t="s">
        <v>39</v>
      </c>
      <c r="C23" s="108">
        <v>100000</v>
      </c>
      <c r="D23" s="109" t="s">
        <v>45</v>
      </c>
      <c r="E23" s="110" t="s">
        <v>46</v>
      </c>
      <c r="F23" s="112" t="s">
        <v>62</v>
      </c>
    </row>
    <row r="24" spans="1:6" ht="24" customHeight="1" x14ac:dyDescent="0.3">
      <c r="A24" s="107" t="s">
        <v>28</v>
      </c>
      <c r="B24" s="90" t="s">
        <v>48</v>
      </c>
      <c r="C24" s="108">
        <v>96000</v>
      </c>
      <c r="D24" s="109" t="s">
        <v>45</v>
      </c>
      <c r="E24" s="110" t="s">
        <v>46</v>
      </c>
      <c r="F24" s="112" t="s">
        <v>47</v>
      </c>
    </row>
    <row r="25" spans="1:6" ht="24" customHeight="1" x14ac:dyDescent="0.3">
      <c r="A25" s="107" t="s">
        <v>29</v>
      </c>
      <c r="B25" s="90" t="s">
        <v>58</v>
      </c>
      <c r="C25" s="111">
        <v>0.22</v>
      </c>
      <c r="D25" s="109" t="s">
        <v>49</v>
      </c>
      <c r="E25" s="110" t="s">
        <v>46</v>
      </c>
      <c r="F25" s="112" t="s">
        <v>63</v>
      </c>
    </row>
    <row r="26" spans="1:6" ht="24" customHeight="1" x14ac:dyDescent="0.3">
      <c r="A26" s="107" t="s">
        <v>30</v>
      </c>
      <c r="B26" s="90" t="s">
        <v>59</v>
      </c>
      <c r="C26" s="111">
        <v>105</v>
      </c>
      <c r="D26" s="109" t="s">
        <v>50</v>
      </c>
      <c r="E26" s="110" t="s">
        <v>55</v>
      </c>
      <c r="F26" s="112" t="s">
        <v>64</v>
      </c>
    </row>
    <row r="27" spans="1:6" ht="24" customHeight="1" x14ac:dyDescent="0.3">
      <c r="A27" s="107" t="s">
        <v>31</v>
      </c>
      <c r="B27" s="90" t="s">
        <v>60</v>
      </c>
      <c r="C27" s="111">
        <v>0.09</v>
      </c>
      <c r="D27" s="109" t="s">
        <v>49</v>
      </c>
      <c r="E27" s="110" t="s">
        <v>46</v>
      </c>
      <c r="F27" s="112" t="s">
        <v>65</v>
      </c>
    </row>
    <row r="28" spans="1:6" ht="24" customHeight="1" x14ac:dyDescent="0.3">
      <c r="A28" s="107" t="s">
        <v>32</v>
      </c>
      <c r="B28" s="90" t="s">
        <v>61</v>
      </c>
      <c r="C28" s="111">
        <v>195</v>
      </c>
      <c r="D28" s="109" t="s">
        <v>50</v>
      </c>
      <c r="E28" s="110" t="s">
        <v>55</v>
      </c>
      <c r="F28" s="112" t="s">
        <v>66</v>
      </c>
    </row>
    <row r="29" spans="1:6" ht="24" customHeight="1" x14ac:dyDescent="0.3">
      <c r="A29" s="107" t="s">
        <v>33</v>
      </c>
      <c r="B29" s="90" t="s">
        <v>40</v>
      </c>
      <c r="C29" s="111">
        <v>0.04</v>
      </c>
      <c r="D29" s="109" t="s">
        <v>51</v>
      </c>
      <c r="E29" s="110" t="s">
        <v>46</v>
      </c>
      <c r="F29" s="112" t="s">
        <v>338</v>
      </c>
    </row>
    <row r="30" spans="1:6" ht="24" customHeight="1" x14ac:dyDescent="0.3">
      <c r="A30" s="107" t="s">
        <v>34</v>
      </c>
      <c r="B30" s="90" t="s">
        <v>92</v>
      </c>
      <c r="C30" s="111">
        <v>110</v>
      </c>
      <c r="D30" s="109" t="s">
        <v>52</v>
      </c>
      <c r="E30" s="110" t="s">
        <v>56</v>
      </c>
      <c r="F30" s="112" t="s">
        <v>67</v>
      </c>
    </row>
    <row r="31" spans="1:6" ht="24" customHeight="1" x14ac:dyDescent="0.3">
      <c r="A31" s="107" t="s">
        <v>35</v>
      </c>
      <c r="B31" s="90" t="s">
        <v>41</v>
      </c>
      <c r="C31" s="111">
        <v>0.08</v>
      </c>
      <c r="D31" s="109" t="s">
        <v>51</v>
      </c>
      <c r="E31" s="110" t="s">
        <v>46</v>
      </c>
      <c r="F31" s="112" t="s">
        <v>339</v>
      </c>
    </row>
    <row r="32" spans="1:6" ht="24" customHeight="1" x14ac:dyDescent="0.3">
      <c r="A32" s="107" t="s">
        <v>36</v>
      </c>
      <c r="B32" s="90" t="s">
        <v>42</v>
      </c>
      <c r="C32" s="111">
        <v>95</v>
      </c>
      <c r="D32" s="109" t="s">
        <v>52</v>
      </c>
      <c r="E32" s="110" t="s">
        <v>56</v>
      </c>
      <c r="F32" s="112" t="s">
        <v>340</v>
      </c>
    </row>
    <row r="33" spans="1:6" ht="24" customHeight="1" x14ac:dyDescent="0.3">
      <c r="A33" s="107" t="s">
        <v>37</v>
      </c>
      <c r="B33" s="90" t="s">
        <v>43</v>
      </c>
      <c r="C33" s="111">
        <v>37.5</v>
      </c>
      <c r="D33" s="109" t="s">
        <v>53</v>
      </c>
      <c r="E33" s="110" t="s">
        <v>46</v>
      </c>
      <c r="F33" s="112" t="s">
        <v>337</v>
      </c>
    </row>
    <row r="34" spans="1:6" ht="24" customHeight="1" x14ac:dyDescent="0.3">
      <c r="A34" s="107" t="s">
        <v>38</v>
      </c>
      <c r="B34" s="90" t="s">
        <v>44</v>
      </c>
      <c r="C34" s="108">
        <v>660000</v>
      </c>
      <c r="D34" s="109" t="s">
        <v>54</v>
      </c>
      <c r="E34" s="110" t="s">
        <v>46</v>
      </c>
      <c r="F34" s="112" t="s">
        <v>68</v>
      </c>
    </row>
    <row r="35" spans="1:6" ht="24" customHeight="1" x14ac:dyDescent="0.3"/>
    <row r="36" spans="1:6" ht="24" customHeight="1" x14ac:dyDescent="0.3"/>
  </sheetData>
  <mergeCells count="1">
    <mergeCell ref="A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BC0F-544B-424E-BB2C-95B19664F32A}">
  <dimension ref="A1:I21"/>
  <sheetViews>
    <sheetView showGridLines="0" zoomScaleNormal="100" workbookViewId="0">
      <selection sqref="A1:I1"/>
    </sheetView>
  </sheetViews>
  <sheetFormatPr defaultRowHeight="14.4" x14ac:dyDescent="0.3"/>
  <cols>
    <col min="1" max="1" width="9.88671875" bestFit="1" customWidth="1"/>
    <col min="2" max="2" width="76.109375" bestFit="1" customWidth="1"/>
    <col min="3" max="3" width="11.5546875" bestFit="1" customWidth="1"/>
    <col min="4" max="4" width="33.33203125" bestFit="1" customWidth="1"/>
    <col min="5" max="5" width="33.33203125" style="12" customWidth="1"/>
    <col min="6" max="6" width="35.6640625" bestFit="1" customWidth="1"/>
    <col min="7" max="7" width="29.109375" bestFit="1" customWidth="1"/>
    <col min="8" max="8" width="39.44140625" bestFit="1" customWidth="1"/>
    <col min="9" max="9" width="30.44140625" bestFit="1" customWidth="1"/>
  </cols>
  <sheetData>
    <row r="1" spans="1:9" s="93" customFormat="1" ht="23.4" x14ac:dyDescent="0.45">
      <c r="A1" s="183" t="s">
        <v>299</v>
      </c>
      <c r="B1" s="183"/>
      <c r="C1" s="183"/>
      <c r="D1" s="183"/>
      <c r="E1" s="183"/>
      <c r="F1" s="183"/>
      <c r="G1" s="183"/>
      <c r="H1" s="183"/>
      <c r="I1" s="183"/>
    </row>
    <row r="2" spans="1:9" s="4" customFormat="1" ht="23.4" x14ac:dyDescent="0.45">
      <c r="E2" s="11"/>
    </row>
    <row r="3" spans="1:9" s="31" customFormat="1" ht="23.4" x14ac:dyDescent="0.45">
      <c r="A3" s="184" t="s">
        <v>106</v>
      </c>
      <c r="B3" s="184"/>
      <c r="C3" s="30">
        <f>'02_Assumptions'!C23</f>
        <v>100000</v>
      </c>
      <c r="D3" s="184" t="s">
        <v>166</v>
      </c>
      <c r="E3" s="184"/>
      <c r="F3" s="30">
        <v>0.12</v>
      </c>
      <c r="G3" s="184" t="s">
        <v>167</v>
      </c>
      <c r="H3" s="184"/>
      <c r="I3" s="30">
        <v>12000</v>
      </c>
    </row>
    <row r="4" spans="1:9" s="4" customFormat="1" ht="14.4" customHeight="1" x14ac:dyDescent="0.45">
      <c r="E4" s="11"/>
      <c r="G4" s="10"/>
    </row>
    <row r="5" spans="1:9" s="7" customFormat="1" ht="24" customHeight="1" x14ac:dyDescent="0.3">
      <c r="A5" s="3" t="s">
        <v>70</v>
      </c>
      <c r="B5" s="153" t="s">
        <v>101</v>
      </c>
      <c r="C5" s="154" t="s">
        <v>71</v>
      </c>
      <c r="D5" s="155" t="s">
        <v>72</v>
      </c>
      <c r="E5" s="155" t="s">
        <v>122</v>
      </c>
      <c r="F5" s="156" t="s">
        <v>73</v>
      </c>
      <c r="G5" s="153" t="s">
        <v>74</v>
      </c>
      <c r="H5" s="153" t="s">
        <v>102</v>
      </c>
      <c r="I5" s="153" t="s">
        <v>75</v>
      </c>
    </row>
    <row r="6" spans="1:9" ht="24" customHeight="1" x14ac:dyDescent="0.3">
      <c r="A6" s="107" t="s">
        <v>76</v>
      </c>
      <c r="B6" s="90" t="s">
        <v>88</v>
      </c>
      <c r="C6" s="90" t="s">
        <v>103</v>
      </c>
      <c r="D6" s="122">
        <f>'02_Assumptions'!C25</f>
        <v>0.22</v>
      </c>
      <c r="E6" s="157">
        <f>D6*$C$3</f>
        <v>22000</v>
      </c>
      <c r="F6" s="122">
        <f>'02_Assumptions'!C26</f>
        <v>105</v>
      </c>
      <c r="G6" s="90">
        <f>D6*F6</f>
        <v>23.1</v>
      </c>
      <c r="H6" s="158">
        <f>E6*F6</f>
        <v>2310000</v>
      </c>
      <c r="I6" s="110">
        <f t="shared" ref="I6:I17" si="0">G6/$G$17</f>
        <v>0.36235294117647054</v>
      </c>
    </row>
    <row r="7" spans="1:9" ht="24" customHeight="1" x14ac:dyDescent="0.3">
      <c r="A7" s="107" t="s">
        <v>77</v>
      </c>
      <c r="B7" s="90" t="s">
        <v>89</v>
      </c>
      <c r="C7" s="90" t="s">
        <v>103</v>
      </c>
      <c r="D7" s="122">
        <f>'02_Assumptions'!C27</f>
        <v>0.09</v>
      </c>
      <c r="E7" s="157">
        <f>D7*$C$3</f>
        <v>9000</v>
      </c>
      <c r="F7" s="122">
        <f>'02_Assumptions'!C28</f>
        <v>195</v>
      </c>
      <c r="G7" s="90">
        <f>D7*F7</f>
        <v>17.55</v>
      </c>
      <c r="H7" s="158">
        <f>E7*F7</f>
        <v>1755000</v>
      </c>
      <c r="I7" s="110">
        <f t="shared" si="0"/>
        <v>0.2752941176470588</v>
      </c>
    </row>
    <row r="8" spans="1:9" s="5" customFormat="1" ht="24" customHeight="1" thickBot="1" x14ac:dyDescent="0.35">
      <c r="A8" s="136" t="s">
        <v>78</v>
      </c>
      <c r="B8" s="137" t="s">
        <v>94</v>
      </c>
      <c r="C8" s="137" t="s">
        <v>105</v>
      </c>
      <c r="D8" s="139">
        <f>SUM(D6:D7)</f>
        <v>0.31</v>
      </c>
      <c r="E8" s="165">
        <f>SUM(E6:E7)</f>
        <v>31000</v>
      </c>
      <c r="F8" s="139">
        <f>H8/E8</f>
        <v>131.12903225806451</v>
      </c>
      <c r="G8" s="137">
        <f>SUM(G6:G7)</f>
        <v>40.650000000000006</v>
      </c>
      <c r="H8" s="166">
        <f>SUM(H6:H7)</f>
        <v>4065000</v>
      </c>
      <c r="I8" s="167">
        <f t="shared" si="0"/>
        <v>0.63764705882352946</v>
      </c>
    </row>
    <row r="9" spans="1:9" ht="24" customHeight="1" x14ac:dyDescent="0.3">
      <c r="A9" s="129" t="s">
        <v>79</v>
      </c>
      <c r="B9" s="130" t="s">
        <v>90</v>
      </c>
      <c r="C9" s="130" t="s">
        <v>104</v>
      </c>
      <c r="D9" s="132">
        <f>'02_Assumptions'!C29</f>
        <v>0.04</v>
      </c>
      <c r="E9" s="162">
        <f t="shared" ref="E9:E10" si="1">D9*$C$3</f>
        <v>4000</v>
      </c>
      <c r="F9" s="132">
        <f>'02_Assumptions'!C30</f>
        <v>110</v>
      </c>
      <c r="G9" s="130">
        <f>D9*F9</f>
        <v>4.4000000000000004</v>
      </c>
      <c r="H9" s="163">
        <f>E9*F9</f>
        <v>440000</v>
      </c>
      <c r="I9" s="164">
        <f t="shared" si="0"/>
        <v>6.9019607843137251E-2</v>
      </c>
    </row>
    <row r="10" spans="1:9" ht="24" customHeight="1" x14ac:dyDescent="0.3">
      <c r="A10" s="107" t="s">
        <v>80</v>
      </c>
      <c r="B10" s="90" t="s">
        <v>91</v>
      </c>
      <c r="C10" s="90" t="s">
        <v>104</v>
      </c>
      <c r="D10" s="122">
        <f>'02_Assumptions'!C31</f>
        <v>0.08</v>
      </c>
      <c r="E10" s="157">
        <f t="shared" si="1"/>
        <v>8000</v>
      </c>
      <c r="F10" s="122">
        <f>'02_Assumptions'!C32</f>
        <v>95</v>
      </c>
      <c r="G10" s="90">
        <f>D10*F10</f>
        <v>7.6000000000000005</v>
      </c>
      <c r="H10" s="158">
        <f>E10*F10</f>
        <v>760000</v>
      </c>
      <c r="I10" s="110">
        <f t="shared" si="0"/>
        <v>0.11921568627450981</v>
      </c>
    </row>
    <row r="11" spans="1:9" s="5" customFormat="1" ht="24" customHeight="1" thickBot="1" x14ac:dyDescent="0.35">
      <c r="A11" s="136" t="s">
        <v>81</v>
      </c>
      <c r="B11" s="137" t="s">
        <v>93</v>
      </c>
      <c r="C11" s="137" t="s">
        <v>104</v>
      </c>
      <c r="D11" s="139">
        <f>SUM(D9:D10)</f>
        <v>0.12</v>
      </c>
      <c r="E11" s="165">
        <f>SUM(E9:E10)</f>
        <v>12000</v>
      </c>
      <c r="F11" s="139">
        <f>H11/E11</f>
        <v>100</v>
      </c>
      <c r="G11" s="137">
        <f>SUM(G9:G10)</f>
        <v>12</v>
      </c>
      <c r="H11" s="166">
        <f>SUM(H9:H10)</f>
        <v>1200000</v>
      </c>
      <c r="I11" s="167">
        <f t="shared" si="0"/>
        <v>0.18823529411764703</v>
      </c>
    </row>
    <row r="12" spans="1:9" s="5" customFormat="1" ht="24" customHeight="1" thickBot="1" x14ac:dyDescent="0.35">
      <c r="A12" s="143" t="s">
        <v>82</v>
      </c>
      <c r="B12" s="144" t="s">
        <v>95</v>
      </c>
      <c r="C12" s="144" t="s">
        <v>105</v>
      </c>
      <c r="D12" s="170">
        <v>0</v>
      </c>
      <c r="E12" s="171">
        <v>0</v>
      </c>
      <c r="F12" s="170">
        <v>0</v>
      </c>
      <c r="G12" s="144">
        <f>SUM(G11,G8)</f>
        <v>52.650000000000006</v>
      </c>
      <c r="H12" s="172">
        <f>SUM(H11,H8)</f>
        <v>5265000</v>
      </c>
      <c r="I12" s="173">
        <f t="shared" si="0"/>
        <v>0.82588235294117651</v>
      </c>
    </row>
    <row r="13" spans="1:9" ht="24" customHeight="1" x14ac:dyDescent="0.3">
      <c r="A13" s="129" t="s">
        <v>83</v>
      </c>
      <c r="B13" s="130" t="s">
        <v>96</v>
      </c>
      <c r="C13" s="130" t="s">
        <v>104</v>
      </c>
      <c r="D13" s="168">
        <f>D11</f>
        <v>0.12</v>
      </c>
      <c r="E13" s="169">
        <f>D13*$C$3</f>
        <v>12000</v>
      </c>
      <c r="F13" s="132">
        <f>'02_Assumptions'!C33</f>
        <v>37.5</v>
      </c>
      <c r="G13" s="130">
        <f t="shared" ref="G13" si="2">D13*F13</f>
        <v>4.5</v>
      </c>
      <c r="H13" s="163">
        <f>E13*F13</f>
        <v>450000</v>
      </c>
      <c r="I13" s="164">
        <f t="shared" si="0"/>
        <v>7.0588235294117646E-2</v>
      </c>
    </row>
    <row r="14" spans="1:9" ht="24" customHeight="1" x14ac:dyDescent="0.3">
      <c r="A14" s="107" t="s">
        <v>84</v>
      </c>
      <c r="B14" s="90" t="s">
        <v>97</v>
      </c>
      <c r="C14" s="90" t="s">
        <v>104</v>
      </c>
      <c r="D14" s="159">
        <f>D11</f>
        <v>0.12</v>
      </c>
      <c r="E14" s="160">
        <f>D14*$C$3</f>
        <v>12000</v>
      </c>
      <c r="F14" s="159">
        <f>H14/E14</f>
        <v>55</v>
      </c>
      <c r="G14" s="90">
        <f>H14/C3</f>
        <v>6.6</v>
      </c>
      <c r="H14" s="161">
        <f>'02_Assumptions'!C34</f>
        <v>660000</v>
      </c>
      <c r="I14" s="110">
        <f t="shared" si="0"/>
        <v>0.10352941176470587</v>
      </c>
    </row>
    <row r="15" spans="1:9" s="5" customFormat="1" ht="24" customHeight="1" thickBot="1" x14ac:dyDescent="0.35">
      <c r="A15" s="136" t="s">
        <v>85</v>
      </c>
      <c r="B15" s="137" t="s">
        <v>98</v>
      </c>
      <c r="C15" s="137" t="s">
        <v>104</v>
      </c>
      <c r="D15" s="139">
        <f>D14</f>
        <v>0.12</v>
      </c>
      <c r="E15" s="165">
        <f>E14</f>
        <v>12000</v>
      </c>
      <c r="F15" s="174">
        <f>H15/E15</f>
        <v>92.5</v>
      </c>
      <c r="G15" s="137">
        <f>SUM(G13:G14)</f>
        <v>11.1</v>
      </c>
      <c r="H15" s="166">
        <f>SUM(H13:H14)</f>
        <v>1110000</v>
      </c>
      <c r="I15" s="167">
        <f t="shared" si="0"/>
        <v>0.17411764705882352</v>
      </c>
    </row>
    <row r="16" spans="1:9" s="5" customFormat="1" ht="24" customHeight="1" thickBot="1" x14ac:dyDescent="0.35">
      <c r="A16" s="143" t="s">
        <v>86</v>
      </c>
      <c r="B16" s="144" t="s">
        <v>99</v>
      </c>
      <c r="C16" s="144" t="s">
        <v>105</v>
      </c>
      <c r="D16" s="170">
        <v>0</v>
      </c>
      <c r="E16" s="171">
        <v>0</v>
      </c>
      <c r="F16" s="170">
        <v>0</v>
      </c>
      <c r="G16" s="144">
        <f>G12+G13</f>
        <v>57.150000000000006</v>
      </c>
      <c r="H16" s="172">
        <f>H12+H13</f>
        <v>5715000</v>
      </c>
      <c r="I16" s="173">
        <f t="shared" si="0"/>
        <v>0.89647058823529413</v>
      </c>
    </row>
    <row r="17" spans="1:9" s="5" customFormat="1" ht="24" customHeight="1" thickBot="1" x14ac:dyDescent="0.35">
      <c r="A17" s="148" t="s">
        <v>87</v>
      </c>
      <c r="B17" s="149" t="s">
        <v>100</v>
      </c>
      <c r="C17" s="149" t="s">
        <v>105</v>
      </c>
      <c r="D17" s="175">
        <v>0</v>
      </c>
      <c r="E17" s="176">
        <v>0</v>
      </c>
      <c r="F17" s="175">
        <v>0</v>
      </c>
      <c r="G17" s="149">
        <f>G12+G15</f>
        <v>63.750000000000007</v>
      </c>
      <c r="H17" s="177">
        <f>H12+H15</f>
        <v>6375000</v>
      </c>
      <c r="I17" s="178">
        <f t="shared" si="0"/>
        <v>1</v>
      </c>
    </row>
    <row r="18" spans="1:9" ht="24" customHeight="1" thickTop="1" x14ac:dyDescent="0.3"/>
    <row r="19" spans="1:9" ht="24" customHeight="1" x14ac:dyDescent="0.3"/>
    <row r="20" spans="1:9" ht="24" customHeight="1" x14ac:dyDescent="0.3"/>
    <row r="21" spans="1:9" ht="24" customHeight="1" x14ac:dyDescent="0.3"/>
  </sheetData>
  <mergeCells count="4">
    <mergeCell ref="A3:B3"/>
    <mergeCell ref="G3:H3"/>
    <mergeCell ref="D3:E3"/>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81CDA-0143-436E-BCB0-AF35E2B7AAD6}">
  <dimension ref="A1:I19"/>
  <sheetViews>
    <sheetView showGridLines="0" zoomScaleNormal="100" workbookViewId="0">
      <selection sqref="A1:I1"/>
    </sheetView>
  </sheetViews>
  <sheetFormatPr defaultRowHeight="14.4" x14ac:dyDescent="0.3"/>
  <cols>
    <col min="1" max="1" width="10.77734375" customWidth="1"/>
    <col min="2" max="2" width="68.77734375" bestFit="1" customWidth="1"/>
    <col min="3" max="3" width="15.5546875" bestFit="1" customWidth="1"/>
    <col min="4" max="4" width="26.77734375" bestFit="1" customWidth="1"/>
    <col min="5" max="5" width="14.44140625" customWidth="1"/>
    <col min="6" max="6" width="25.44140625" customWidth="1"/>
    <col min="7" max="7" width="27.77734375" customWidth="1"/>
    <col min="8" max="8" width="18.44140625" customWidth="1"/>
    <col min="9" max="9" width="16" customWidth="1"/>
  </cols>
  <sheetData>
    <row r="1" spans="1:9" ht="23.4" x14ac:dyDescent="0.45">
      <c r="A1" s="183" t="s">
        <v>298</v>
      </c>
      <c r="B1" s="183"/>
      <c r="C1" s="183"/>
      <c r="D1" s="183"/>
      <c r="E1" s="183"/>
      <c r="F1" s="183"/>
      <c r="G1" s="183"/>
      <c r="H1" s="183"/>
      <c r="I1" s="183"/>
    </row>
    <row r="2" spans="1:9" ht="21" x14ac:dyDescent="0.4">
      <c r="A2" s="92" t="s">
        <v>112</v>
      </c>
      <c r="F2" s="6"/>
    </row>
    <row r="4" spans="1:9" ht="15.6" x14ac:dyDescent="0.3">
      <c r="A4" s="184" t="s">
        <v>106</v>
      </c>
      <c r="B4" s="184"/>
      <c r="C4" s="8">
        <f>'02_Assumptions'!C23</f>
        <v>100000</v>
      </c>
      <c r="D4" s="184" t="s">
        <v>107</v>
      </c>
      <c r="E4" s="184"/>
      <c r="F4" s="9">
        <f>'02_Assumptions'!C24</f>
        <v>96000</v>
      </c>
      <c r="G4" s="184" t="s">
        <v>108</v>
      </c>
      <c r="H4" s="184"/>
      <c r="I4" s="117">
        <f>F4/C4</f>
        <v>0.96</v>
      </c>
    </row>
    <row r="6" spans="1:9" s="7" customFormat="1" ht="24" customHeight="1" x14ac:dyDescent="0.3">
      <c r="A6" s="113" t="s">
        <v>70</v>
      </c>
      <c r="B6" s="113" t="s">
        <v>111</v>
      </c>
      <c r="C6" s="114" t="s">
        <v>1</v>
      </c>
      <c r="D6" s="118" t="s">
        <v>135</v>
      </c>
      <c r="E6" s="119" t="s">
        <v>109</v>
      </c>
      <c r="F6" s="120" t="s">
        <v>134</v>
      </c>
      <c r="G6" s="120" t="s">
        <v>113</v>
      </c>
      <c r="H6" s="120" t="s">
        <v>110</v>
      </c>
      <c r="I6" s="120" t="s">
        <v>114</v>
      </c>
    </row>
    <row r="7" spans="1:9" ht="24" customHeight="1" x14ac:dyDescent="0.3">
      <c r="A7" s="107" t="s">
        <v>76</v>
      </c>
      <c r="B7" s="90" t="s">
        <v>88</v>
      </c>
      <c r="C7" s="90" t="s">
        <v>103</v>
      </c>
      <c r="D7" s="121">
        <f>'03_Standard_Cost'!D6*'04_Actual_Production_&amp;_Costs'!$F$4</f>
        <v>21120</v>
      </c>
      <c r="E7" s="122">
        <f>'03_Standard_Cost'!F6</f>
        <v>105</v>
      </c>
      <c r="F7" s="123">
        <f>D7*E7</f>
        <v>2217600</v>
      </c>
      <c r="G7" s="124">
        <v>22050</v>
      </c>
      <c r="H7" s="125">
        <v>102</v>
      </c>
      <c r="I7" s="123">
        <f>G7*H7</f>
        <v>2249100</v>
      </c>
    </row>
    <row r="8" spans="1:9" ht="24" customHeight="1" x14ac:dyDescent="0.3">
      <c r="A8" s="107" t="s">
        <v>77</v>
      </c>
      <c r="B8" s="90" t="s">
        <v>89</v>
      </c>
      <c r="C8" s="90" t="s">
        <v>103</v>
      </c>
      <c r="D8" s="121">
        <f>'03_Standard_Cost'!D7*'04_Actual_Production_&amp;_Costs'!$F$4</f>
        <v>8640</v>
      </c>
      <c r="E8" s="122">
        <f>'03_Standard_Cost'!F7</f>
        <v>195</v>
      </c>
      <c r="F8" s="123">
        <f t="shared" ref="F8:F11" si="0">D8*E8</f>
        <v>1684800</v>
      </c>
      <c r="G8" s="124">
        <v>8450</v>
      </c>
      <c r="H8" s="125">
        <v>208</v>
      </c>
      <c r="I8" s="123">
        <f t="shared" ref="I8:I11" si="1">G8*H8</f>
        <v>1757600</v>
      </c>
    </row>
    <row r="9" spans="1:9" s="5" customFormat="1" ht="24" customHeight="1" thickBot="1" x14ac:dyDescent="0.35">
      <c r="A9" s="136" t="s">
        <v>78</v>
      </c>
      <c r="B9" s="137" t="s">
        <v>115</v>
      </c>
      <c r="C9" s="137" t="s">
        <v>103</v>
      </c>
      <c r="D9" s="138">
        <f>SUM(D7:D8)</f>
        <v>29760</v>
      </c>
      <c r="E9" s="139">
        <f>F9/D9</f>
        <v>131.12903225806451</v>
      </c>
      <c r="F9" s="140">
        <f>SUM(F7:F8)</f>
        <v>3902400</v>
      </c>
      <c r="G9" s="141">
        <f>SUM(G7:G8)</f>
        <v>30500</v>
      </c>
      <c r="H9" s="139">
        <f>I9/G9</f>
        <v>131.36721311475409</v>
      </c>
      <c r="I9" s="140">
        <f>SUM(I7:I8)</f>
        <v>4006700</v>
      </c>
    </row>
    <row r="10" spans="1:9" ht="24" customHeight="1" x14ac:dyDescent="0.3">
      <c r="A10" s="129" t="s">
        <v>79</v>
      </c>
      <c r="B10" s="130" t="s">
        <v>90</v>
      </c>
      <c r="C10" s="130" t="s">
        <v>104</v>
      </c>
      <c r="D10" s="131">
        <f>'03_Standard_Cost'!D9*'04_Actual_Production_&amp;_Costs'!$F$4</f>
        <v>3840</v>
      </c>
      <c r="E10" s="132">
        <f>'03_Standard_Cost'!F9</f>
        <v>110</v>
      </c>
      <c r="F10" s="133">
        <f t="shared" si="0"/>
        <v>422400</v>
      </c>
      <c r="G10" s="134">
        <v>3960</v>
      </c>
      <c r="H10" s="135">
        <v>114</v>
      </c>
      <c r="I10" s="131">
        <f t="shared" si="1"/>
        <v>451440</v>
      </c>
    </row>
    <row r="11" spans="1:9" ht="24" customHeight="1" x14ac:dyDescent="0.3">
      <c r="A11" s="107" t="s">
        <v>80</v>
      </c>
      <c r="B11" s="90" t="s">
        <v>91</v>
      </c>
      <c r="C11" s="90" t="s">
        <v>104</v>
      </c>
      <c r="D11" s="121">
        <f>'03_Standard_Cost'!D10*'04_Actual_Production_&amp;_Costs'!$F$4</f>
        <v>7680</v>
      </c>
      <c r="E11" s="122">
        <f>'03_Standard_Cost'!F10</f>
        <v>95</v>
      </c>
      <c r="F11" s="123">
        <f t="shared" si="0"/>
        <v>729600</v>
      </c>
      <c r="G11" s="124">
        <v>8100</v>
      </c>
      <c r="H11" s="125">
        <v>92</v>
      </c>
      <c r="I11" s="121">
        <f t="shared" si="1"/>
        <v>745200</v>
      </c>
    </row>
    <row r="12" spans="1:9" s="5" customFormat="1" ht="24" customHeight="1" thickBot="1" x14ac:dyDescent="0.35">
      <c r="A12" s="136" t="s">
        <v>81</v>
      </c>
      <c r="B12" s="137" t="s">
        <v>116</v>
      </c>
      <c r="C12" s="137" t="s">
        <v>104</v>
      </c>
      <c r="D12" s="138">
        <f>SUM(D10:D11)</f>
        <v>11520</v>
      </c>
      <c r="E12" s="139">
        <f>F12/D12</f>
        <v>100</v>
      </c>
      <c r="F12" s="140">
        <f>SUM(F10:F11)</f>
        <v>1152000</v>
      </c>
      <c r="G12" s="141">
        <f>SUM(G10:G11)</f>
        <v>12060</v>
      </c>
      <c r="H12" s="139">
        <f>I12/G12</f>
        <v>99.223880597014926</v>
      </c>
      <c r="I12" s="138">
        <f>SUM(I10:I11)</f>
        <v>1196640</v>
      </c>
    </row>
    <row r="13" spans="1:9" s="5" customFormat="1" ht="24" customHeight="1" thickBot="1" x14ac:dyDescent="0.35">
      <c r="A13" s="143" t="s">
        <v>82</v>
      </c>
      <c r="B13" s="144" t="s">
        <v>117</v>
      </c>
      <c r="C13" s="144" t="s">
        <v>105</v>
      </c>
      <c r="D13" s="145">
        <v>0</v>
      </c>
      <c r="E13" s="146">
        <v>0</v>
      </c>
      <c r="F13" s="147">
        <f>F9+F12</f>
        <v>5054400</v>
      </c>
      <c r="G13" s="146">
        <v>0</v>
      </c>
      <c r="H13" s="146">
        <v>0</v>
      </c>
      <c r="I13" s="145">
        <f>I9+I12</f>
        <v>5203340</v>
      </c>
    </row>
    <row r="14" spans="1:9" ht="24" customHeight="1" x14ac:dyDescent="0.3">
      <c r="A14" s="129" t="s">
        <v>83</v>
      </c>
      <c r="B14" s="130" t="s">
        <v>96</v>
      </c>
      <c r="C14" s="130" t="s">
        <v>104</v>
      </c>
      <c r="D14" s="131">
        <f>D12</f>
        <v>11520</v>
      </c>
      <c r="E14" s="132">
        <f>'03_Standard_Cost'!F13</f>
        <v>37.5</v>
      </c>
      <c r="F14" s="133">
        <f t="shared" ref="F14:F15" si="2">D14*E14</f>
        <v>432000</v>
      </c>
      <c r="G14" s="142">
        <f>G12</f>
        <v>12060</v>
      </c>
      <c r="H14" s="135">
        <v>38.5</v>
      </c>
      <c r="I14" s="131">
        <f t="shared" ref="I14" si="3">G14*H14</f>
        <v>464310</v>
      </c>
    </row>
    <row r="15" spans="1:9" ht="24" customHeight="1" x14ac:dyDescent="0.3">
      <c r="A15" s="107" t="s">
        <v>84</v>
      </c>
      <c r="B15" s="90" t="s">
        <v>97</v>
      </c>
      <c r="C15" s="90" t="s">
        <v>104</v>
      </c>
      <c r="D15" s="121">
        <f>D12</f>
        <v>11520</v>
      </c>
      <c r="E15" s="122">
        <f>'03_Standard_Cost'!F14</f>
        <v>55</v>
      </c>
      <c r="F15" s="123">
        <f t="shared" si="2"/>
        <v>633600</v>
      </c>
      <c r="G15" s="126">
        <f>G12</f>
        <v>12060</v>
      </c>
      <c r="H15" s="127">
        <f>I15/G15</f>
        <v>55.721393034825873</v>
      </c>
      <c r="I15" s="128">
        <v>672000</v>
      </c>
    </row>
    <row r="16" spans="1:9" s="5" customFormat="1" ht="24" customHeight="1" thickBot="1" x14ac:dyDescent="0.35">
      <c r="A16" s="136" t="s">
        <v>85</v>
      </c>
      <c r="B16" s="137" t="s">
        <v>118</v>
      </c>
      <c r="C16" s="137" t="s">
        <v>104</v>
      </c>
      <c r="D16" s="138">
        <f>D12</f>
        <v>11520</v>
      </c>
      <c r="E16" s="137">
        <f>F16/D16</f>
        <v>92.5</v>
      </c>
      <c r="F16" s="140">
        <f>SUM(F14:F15)</f>
        <v>1065600</v>
      </c>
      <c r="G16" s="141">
        <f>G12</f>
        <v>12060</v>
      </c>
      <c r="H16" s="139">
        <f>I16/G16</f>
        <v>94.221393034825866</v>
      </c>
      <c r="I16" s="138">
        <f>SUM(I14:I15)</f>
        <v>1136310</v>
      </c>
    </row>
    <row r="17" spans="1:9" s="5" customFormat="1" ht="24" customHeight="1" thickBot="1" x14ac:dyDescent="0.35">
      <c r="A17" s="143" t="s">
        <v>86</v>
      </c>
      <c r="B17" s="144" t="s">
        <v>119</v>
      </c>
      <c r="C17" s="144" t="s">
        <v>105</v>
      </c>
      <c r="D17" s="145">
        <v>0</v>
      </c>
      <c r="E17" s="146">
        <v>0</v>
      </c>
      <c r="F17" s="147">
        <f>F13+F14</f>
        <v>5486400</v>
      </c>
      <c r="G17" s="146">
        <v>0</v>
      </c>
      <c r="H17" s="146">
        <v>0</v>
      </c>
      <c r="I17" s="145">
        <f>I13+I14</f>
        <v>5667650</v>
      </c>
    </row>
    <row r="18" spans="1:9" s="5" customFormat="1" ht="24" customHeight="1" thickBot="1" x14ac:dyDescent="0.35">
      <c r="A18" s="148" t="s">
        <v>121</v>
      </c>
      <c r="B18" s="149" t="s">
        <v>120</v>
      </c>
      <c r="C18" s="149" t="s">
        <v>105</v>
      </c>
      <c r="D18" s="150">
        <v>0</v>
      </c>
      <c r="E18" s="151">
        <v>0</v>
      </c>
      <c r="F18" s="152">
        <f>F13+F16</f>
        <v>6120000</v>
      </c>
      <c r="G18" s="151">
        <v>0</v>
      </c>
      <c r="H18" s="151">
        <v>0</v>
      </c>
      <c r="I18" s="152">
        <f>I13+I16</f>
        <v>6339650</v>
      </c>
    </row>
    <row r="19" spans="1:9" ht="15" thickTop="1" x14ac:dyDescent="0.3">
      <c r="F19" s="6"/>
    </row>
  </sheetData>
  <mergeCells count="4">
    <mergeCell ref="G4:H4"/>
    <mergeCell ref="A4:B4"/>
    <mergeCell ref="D4:E4"/>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8105-94C7-4977-A8CA-617E1CA26095}">
  <dimension ref="A1:I28"/>
  <sheetViews>
    <sheetView showGridLines="0" zoomScaleNormal="100" workbookViewId="0">
      <selection sqref="A1:I1"/>
    </sheetView>
  </sheetViews>
  <sheetFormatPr defaultRowHeight="14.4" x14ac:dyDescent="0.3"/>
  <cols>
    <col min="1" max="1" width="9.21875" bestFit="1" customWidth="1"/>
    <col min="2" max="2" width="54.109375" customWidth="1"/>
    <col min="3" max="5" width="22" customWidth="1"/>
    <col min="6" max="6" width="25.5546875" customWidth="1"/>
    <col min="7" max="7" width="24.88671875" customWidth="1"/>
    <col min="8" max="8" width="22.77734375" customWidth="1"/>
    <col min="9" max="9" width="22" customWidth="1"/>
  </cols>
  <sheetData>
    <row r="1" spans="1:9" ht="19.8" x14ac:dyDescent="0.4">
      <c r="A1" s="186" t="s">
        <v>345</v>
      </c>
      <c r="B1" s="186"/>
      <c r="C1" s="186"/>
      <c r="D1" s="186"/>
      <c r="E1" s="186"/>
      <c r="F1" s="186"/>
      <c r="G1" s="186"/>
      <c r="H1" s="186"/>
      <c r="I1" s="186"/>
    </row>
    <row r="2" spans="1:9" s="13" customFormat="1" ht="13.8" x14ac:dyDescent="0.3">
      <c r="A2" s="187" t="s">
        <v>123</v>
      </c>
      <c r="B2" s="187"/>
      <c r="C2" s="187"/>
      <c r="D2" s="187"/>
      <c r="E2" s="187"/>
      <c r="F2" s="187"/>
      <c r="G2" s="187"/>
      <c r="H2" s="187"/>
      <c r="I2" s="187"/>
    </row>
    <row r="4" spans="1:9" x14ac:dyDescent="0.3">
      <c r="A4" s="185" t="s">
        <v>124</v>
      </c>
      <c r="B4" s="185"/>
      <c r="C4" s="185"/>
      <c r="D4" s="185"/>
      <c r="E4" s="185"/>
      <c r="F4" s="185"/>
      <c r="G4" s="185"/>
      <c r="H4" s="185"/>
      <c r="I4" s="185"/>
    </row>
    <row r="5" spans="1:9" s="5" customFormat="1" ht="29.4" customHeight="1" x14ac:dyDescent="0.3">
      <c r="A5" s="17" t="s">
        <v>70</v>
      </c>
      <c r="B5" s="17" t="s">
        <v>125</v>
      </c>
      <c r="C5" s="17" t="s">
        <v>132</v>
      </c>
      <c r="D5" s="17" t="s">
        <v>126</v>
      </c>
      <c r="E5" s="17" t="s">
        <v>127</v>
      </c>
      <c r="F5" s="17" t="s">
        <v>128</v>
      </c>
      <c r="G5" s="17" t="s">
        <v>129</v>
      </c>
      <c r="H5" s="17" t="s">
        <v>130</v>
      </c>
      <c r="I5" s="17" t="s">
        <v>131</v>
      </c>
    </row>
    <row r="6" spans="1:9" ht="24" customHeight="1" x14ac:dyDescent="0.3">
      <c r="A6" s="18" t="s">
        <v>76</v>
      </c>
      <c r="B6" s="18" t="s">
        <v>88</v>
      </c>
      <c r="C6" s="23">
        <f>'04_Actual_Production_&amp;_Costs'!F7</f>
        <v>2217600</v>
      </c>
      <c r="D6" s="24">
        <f>'04_Actual_Production_&amp;_Costs'!G7*'04_Actual_Production_&amp;_Costs'!E7</f>
        <v>2315250</v>
      </c>
      <c r="E6" s="23">
        <f>'04_Actual_Production_&amp;_Costs'!I7</f>
        <v>2249100</v>
      </c>
      <c r="F6" s="24">
        <f>D6-E6</f>
        <v>66150</v>
      </c>
      <c r="G6" s="24">
        <f>C6-D6</f>
        <v>-97650</v>
      </c>
      <c r="H6" s="24">
        <f>F6+G6</f>
        <v>-31500</v>
      </c>
      <c r="I6" s="26" t="str">
        <f>IF(H6&gt;0,"Favourable (F)","Adverse (A)")</f>
        <v>Adverse (A)</v>
      </c>
    </row>
    <row r="7" spans="1:9" ht="24" customHeight="1" x14ac:dyDescent="0.3">
      <c r="A7" s="18" t="s">
        <v>77</v>
      </c>
      <c r="B7" s="18" t="s">
        <v>89</v>
      </c>
      <c r="C7" s="23">
        <f>'04_Actual_Production_&amp;_Costs'!F8</f>
        <v>1684800</v>
      </c>
      <c r="D7" s="24">
        <f>'04_Actual_Production_&amp;_Costs'!G8*'04_Actual_Production_&amp;_Costs'!E8</f>
        <v>1647750</v>
      </c>
      <c r="E7" s="23">
        <f>'04_Actual_Production_&amp;_Costs'!I8</f>
        <v>1757600</v>
      </c>
      <c r="F7" s="24">
        <f>D7-E7</f>
        <v>-109850</v>
      </c>
      <c r="G7" s="24">
        <f>C7-D7</f>
        <v>37050</v>
      </c>
      <c r="H7" s="24">
        <f>F7+G7</f>
        <v>-72800</v>
      </c>
      <c r="I7" s="26" t="str">
        <f t="shared" ref="I7:I8" si="0">IF(H7&gt;0,"Favourable (F)","Adverse (A)")</f>
        <v>Adverse (A)</v>
      </c>
    </row>
    <row r="8" spans="1:9" s="5" customFormat="1" ht="24" customHeight="1" thickBot="1" x14ac:dyDescent="0.35">
      <c r="A8" s="21" t="s">
        <v>78</v>
      </c>
      <c r="B8" s="21" t="s">
        <v>133</v>
      </c>
      <c r="C8" s="25">
        <f>SUM(C6:C7)</f>
        <v>3902400</v>
      </c>
      <c r="D8" s="25">
        <f>SUM(D6:D7)</f>
        <v>3963000</v>
      </c>
      <c r="E8" s="25">
        <f>SUM(E6:E7)</f>
        <v>4006700</v>
      </c>
      <c r="F8" s="25">
        <f>SUM(F6:F7)</f>
        <v>-43700</v>
      </c>
      <c r="G8" s="25">
        <f t="shared" ref="G8:H8" si="1">SUM(G6:G7)</f>
        <v>-60600</v>
      </c>
      <c r="H8" s="25">
        <f t="shared" si="1"/>
        <v>-104300</v>
      </c>
      <c r="I8" s="27" t="str">
        <f t="shared" si="0"/>
        <v>Adverse (A)</v>
      </c>
    </row>
    <row r="9" spans="1:9" ht="15" thickTop="1" x14ac:dyDescent="0.3"/>
    <row r="11" spans="1:9" x14ac:dyDescent="0.3">
      <c r="A11" s="185" t="s">
        <v>142</v>
      </c>
      <c r="B11" s="185"/>
      <c r="C11" s="185"/>
      <c r="D11" s="185"/>
      <c r="E11" s="185"/>
      <c r="F11" s="185"/>
      <c r="G11" s="185"/>
      <c r="H11" s="185"/>
      <c r="I11" s="185"/>
    </row>
    <row r="12" spans="1:9" s="5" customFormat="1" ht="29.4" customHeight="1" x14ac:dyDescent="0.3">
      <c r="A12" s="17" t="s">
        <v>70</v>
      </c>
      <c r="B12" s="17" t="s">
        <v>136</v>
      </c>
      <c r="C12" s="17" t="s">
        <v>144</v>
      </c>
      <c r="D12" s="17" t="s">
        <v>137</v>
      </c>
      <c r="E12" s="17" t="s">
        <v>138</v>
      </c>
      <c r="F12" s="17" t="s">
        <v>139</v>
      </c>
      <c r="G12" s="17" t="s">
        <v>140</v>
      </c>
      <c r="H12" s="17" t="s">
        <v>141</v>
      </c>
      <c r="I12" s="17" t="s">
        <v>131</v>
      </c>
    </row>
    <row r="13" spans="1:9" ht="24" customHeight="1" x14ac:dyDescent="0.3">
      <c r="A13" s="18" t="s">
        <v>79</v>
      </c>
      <c r="B13" s="18" t="s">
        <v>90</v>
      </c>
      <c r="C13" s="23">
        <f>'04_Actual_Production_&amp;_Costs'!F10</f>
        <v>422400</v>
      </c>
      <c r="D13" s="24">
        <f>'04_Actual_Production_&amp;_Costs'!G10*'04_Actual_Production_&amp;_Costs'!E10</f>
        <v>435600</v>
      </c>
      <c r="E13" s="23">
        <f>'04_Actual_Production_&amp;_Costs'!I10</f>
        <v>451440</v>
      </c>
      <c r="F13" s="24">
        <f>D13-E13</f>
        <v>-15840</v>
      </c>
      <c r="G13" s="24">
        <f>C13-D13</f>
        <v>-13200</v>
      </c>
      <c r="H13" s="24">
        <f>F13+G13</f>
        <v>-29040</v>
      </c>
      <c r="I13" s="26" t="str">
        <f t="shared" ref="I13:I15" si="2">IF(H13&gt;0,"Favourable (F)","Adverse (A)")</f>
        <v>Adverse (A)</v>
      </c>
    </row>
    <row r="14" spans="1:9" ht="24" customHeight="1" x14ac:dyDescent="0.3">
      <c r="A14" s="18" t="s">
        <v>80</v>
      </c>
      <c r="B14" s="18" t="s">
        <v>91</v>
      </c>
      <c r="C14" s="23">
        <f>'04_Actual_Production_&amp;_Costs'!F11</f>
        <v>729600</v>
      </c>
      <c r="D14" s="24">
        <f>'04_Actual_Production_&amp;_Costs'!G11*'04_Actual_Production_&amp;_Costs'!E11</f>
        <v>769500</v>
      </c>
      <c r="E14" s="23">
        <f>'04_Actual_Production_&amp;_Costs'!I11</f>
        <v>745200</v>
      </c>
      <c r="F14" s="24">
        <f>D14-E14</f>
        <v>24300</v>
      </c>
      <c r="G14" s="24">
        <f>C14-D14</f>
        <v>-39900</v>
      </c>
      <c r="H14" s="24">
        <f>F14+G14</f>
        <v>-15600</v>
      </c>
      <c r="I14" s="26" t="str">
        <f t="shared" si="2"/>
        <v>Adverse (A)</v>
      </c>
    </row>
    <row r="15" spans="1:9" s="5" customFormat="1" ht="24" customHeight="1" thickBot="1" x14ac:dyDescent="0.35">
      <c r="A15" s="21" t="s">
        <v>81</v>
      </c>
      <c r="B15" s="21" t="s">
        <v>143</v>
      </c>
      <c r="C15" s="25">
        <f>SUM(C13:C14)</f>
        <v>1152000</v>
      </c>
      <c r="D15" s="25">
        <f t="shared" ref="D15:H15" si="3">SUM(D13:D14)</f>
        <v>1205100</v>
      </c>
      <c r="E15" s="25">
        <f t="shared" si="3"/>
        <v>1196640</v>
      </c>
      <c r="F15" s="25">
        <f t="shared" si="3"/>
        <v>8460</v>
      </c>
      <c r="G15" s="25">
        <f t="shared" si="3"/>
        <v>-53100</v>
      </c>
      <c r="H15" s="25">
        <f t="shared" si="3"/>
        <v>-44640</v>
      </c>
      <c r="I15" s="27" t="str">
        <f t="shared" si="2"/>
        <v>Adverse (A)</v>
      </c>
    </row>
    <row r="16" spans="1:9" ht="15" thickTop="1" x14ac:dyDescent="0.3"/>
    <row r="18" spans="1:9" x14ac:dyDescent="0.3">
      <c r="A18" s="185" t="s">
        <v>150</v>
      </c>
      <c r="B18" s="185"/>
      <c r="C18" s="185"/>
      <c r="D18" s="185"/>
      <c r="E18" s="185"/>
      <c r="F18" s="185"/>
      <c r="G18" s="185"/>
      <c r="H18" s="185"/>
      <c r="I18" s="185"/>
    </row>
    <row r="19" spans="1:9" s="5" customFormat="1" ht="29.4" customHeight="1" x14ac:dyDescent="0.3">
      <c r="A19" s="17" t="s">
        <v>70</v>
      </c>
      <c r="B19" s="17" t="s">
        <v>145</v>
      </c>
      <c r="C19" s="17" t="s">
        <v>146</v>
      </c>
      <c r="D19" s="17" t="s">
        <v>151</v>
      </c>
      <c r="E19" s="17" t="s">
        <v>147</v>
      </c>
      <c r="F19" s="17" t="s">
        <v>148</v>
      </c>
      <c r="G19" s="17" t="s">
        <v>348</v>
      </c>
      <c r="H19" s="17" t="s">
        <v>149</v>
      </c>
      <c r="I19" s="17" t="s">
        <v>131</v>
      </c>
    </row>
    <row r="20" spans="1:9" ht="24" customHeight="1" x14ac:dyDescent="0.3">
      <c r="A20" s="18" t="s">
        <v>83</v>
      </c>
      <c r="B20" s="18" t="s">
        <v>152</v>
      </c>
      <c r="C20" s="23">
        <f>'04_Actual_Production_&amp;_Costs'!F14</f>
        <v>432000</v>
      </c>
      <c r="D20" s="24">
        <f>'04_Actual_Production_&amp;_Costs'!G14*'04_Actual_Production_&amp;_Costs'!E14</f>
        <v>452250</v>
      </c>
      <c r="E20" s="23">
        <f>'04_Actual_Production_&amp;_Costs'!I14</f>
        <v>464310</v>
      </c>
      <c r="F20" s="24">
        <f>D20-E20</f>
        <v>-12060</v>
      </c>
      <c r="G20" s="24">
        <f>C20-D20</f>
        <v>-20250</v>
      </c>
      <c r="H20" s="24">
        <f>G20+F20</f>
        <v>-32310</v>
      </c>
      <c r="I20" s="26" t="str">
        <f t="shared" ref="I20:I22" si="4">IF(H20&gt;0,"Favourable (F)","Adverse (A)")</f>
        <v>Adverse (A)</v>
      </c>
    </row>
    <row r="21" spans="1:9" ht="24" customHeight="1" x14ac:dyDescent="0.3">
      <c r="A21" s="18" t="s">
        <v>84</v>
      </c>
      <c r="B21" s="18" t="s">
        <v>153</v>
      </c>
      <c r="C21" s="23">
        <f>'04_Actual_Production_&amp;_Costs'!F15</f>
        <v>633600</v>
      </c>
      <c r="D21" s="23">
        <f>'03_Standard_Cost'!H14</f>
        <v>660000</v>
      </c>
      <c r="E21" s="23">
        <f>'04_Actual_Production_&amp;_Costs'!I15</f>
        <v>672000</v>
      </c>
      <c r="F21" s="24">
        <f>D21-E21</f>
        <v>-12000</v>
      </c>
      <c r="G21" s="24">
        <f>C21-D21</f>
        <v>-26400</v>
      </c>
      <c r="H21" s="24">
        <f>G21+F21</f>
        <v>-38400</v>
      </c>
      <c r="I21" s="26" t="str">
        <f t="shared" si="4"/>
        <v>Adverse (A)</v>
      </c>
    </row>
    <row r="22" spans="1:9" s="5" customFormat="1" ht="24" customHeight="1" thickBot="1" x14ac:dyDescent="0.35">
      <c r="A22" s="21" t="s">
        <v>85</v>
      </c>
      <c r="B22" s="21" t="s">
        <v>154</v>
      </c>
      <c r="C22" s="25">
        <f>SUM(C20:C21)</f>
        <v>1065600</v>
      </c>
      <c r="D22" s="25">
        <f t="shared" ref="D22:H22" si="5">SUM(D20:D21)</f>
        <v>1112250</v>
      </c>
      <c r="E22" s="25">
        <f t="shared" si="5"/>
        <v>1136310</v>
      </c>
      <c r="F22" s="25">
        <f t="shared" si="5"/>
        <v>-24060</v>
      </c>
      <c r="G22" s="25">
        <f t="shared" si="5"/>
        <v>-46650</v>
      </c>
      <c r="H22" s="25">
        <f t="shared" si="5"/>
        <v>-70710</v>
      </c>
      <c r="I22" s="27" t="str">
        <f t="shared" si="4"/>
        <v>Adverse (A)</v>
      </c>
    </row>
    <row r="23" spans="1:9" ht="15" thickTop="1" x14ac:dyDescent="0.3"/>
    <row r="25" spans="1:9" x14ac:dyDescent="0.3">
      <c r="A25" s="185" t="s">
        <v>163</v>
      </c>
      <c r="B25" s="185"/>
      <c r="C25" s="185"/>
      <c r="D25" s="185"/>
      <c r="E25" s="185"/>
      <c r="F25" s="185"/>
      <c r="G25" s="185"/>
      <c r="H25" s="185"/>
      <c r="I25" s="185"/>
    </row>
    <row r="26" spans="1:9" s="5" customFormat="1" ht="29.4" customHeight="1" x14ac:dyDescent="0.3">
      <c r="A26" s="17" t="s">
        <v>155</v>
      </c>
      <c r="B26" s="17" t="s">
        <v>156</v>
      </c>
      <c r="C26" s="17" t="s">
        <v>157</v>
      </c>
      <c r="D26" s="17" t="s">
        <v>159</v>
      </c>
      <c r="E26" s="17" t="s">
        <v>158</v>
      </c>
      <c r="F26" s="17" t="s">
        <v>160</v>
      </c>
      <c r="G26" s="17" t="s">
        <v>161</v>
      </c>
      <c r="H26" s="17" t="s">
        <v>162</v>
      </c>
      <c r="I26" s="17" t="s">
        <v>131</v>
      </c>
    </row>
    <row r="27" spans="1:9" s="5" customFormat="1" ht="24" customHeight="1" thickBot="1" x14ac:dyDescent="0.35">
      <c r="A27" s="21" t="s">
        <v>164</v>
      </c>
      <c r="B27" s="22" t="s">
        <v>165</v>
      </c>
      <c r="C27" s="29">
        <f>'04_Actual_Production_&amp;_Costs'!D15</f>
        <v>11520</v>
      </c>
      <c r="D27" s="29">
        <f>'03_Standard_Cost'!I3</f>
        <v>12000</v>
      </c>
      <c r="E27" s="29">
        <f>'04_Actual_Production_&amp;_Costs'!G15</f>
        <v>12060</v>
      </c>
      <c r="F27" s="25">
        <f>(E27-D27)*'03_Standard_Cost'!F14</f>
        <v>3300</v>
      </c>
      <c r="G27" s="25">
        <f>(C27-E27)*'03_Standard_Cost'!F14</f>
        <v>-29700</v>
      </c>
      <c r="H27" s="25">
        <f>F27+G27</f>
        <v>-26400</v>
      </c>
      <c r="I27" s="27" t="str">
        <f t="shared" ref="I27" si="6">IF(H27&gt;0,"Favourable (F)","Adverse (A)")</f>
        <v>Adverse (A)</v>
      </c>
    </row>
    <row r="28" spans="1:9" ht="15" thickTop="1" x14ac:dyDescent="0.3"/>
  </sheetData>
  <mergeCells count="6">
    <mergeCell ref="A25:I25"/>
    <mergeCell ref="A1:I1"/>
    <mergeCell ref="A2:I2"/>
    <mergeCell ref="A4:I4"/>
    <mergeCell ref="A11:I11"/>
    <mergeCell ref="A18:I18"/>
  </mergeCells>
  <conditionalFormatting sqref="I6:I8">
    <cfRule type="containsText" dxfId="23" priority="13" operator="containsText" text="Favourable (F)">
      <formula>NOT(ISERROR(SEARCH("Favourable (F)",I6)))</formula>
    </cfRule>
    <cfRule type="containsText" dxfId="22" priority="14" operator="containsText" text="Adverse (A)">
      <formula>NOT(ISERROR(SEARCH("Adverse (A)",I6)))</formula>
    </cfRule>
  </conditionalFormatting>
  <conditionalFormatting sqref="I13">
    <cfRule type="containsText" dxfId="21" priority="11" operator="containsText" text="Favourable (F)">
      <formula>NOT(ISERROR(SEARCH("Favourable (F)",I13)))</formula>
    </cfRule>
    <cfRule type="containsText" dxfId="20" priority="12" operator="containsText" text="Adverse (A)">
      <formula>NOT(ISERROR(SEARCH("Adverse (A)",I13)))</formula>
    </cfRule>
  </conditionalFormatting>
  <conditionalFormatting sqref="I14">
    <cfRule type="containsText" dxfId="19" priority="9" operator="containsText" text="Favourable (F)">
      <formula>NOT(ISERROR(SEARCH("Favourable (F)",I14)))</formula>
    </cfRule>
    <cfRule type="containsText" dxfId="18" priority="10" operator="containsText" text="Adverse (A)">
      <formula>NOT(ISERROR(SEARCH("Adverse (A)",I14)))</formula>
    </cfRule>
  </conditionalFormatting>
  <conditionalFormatting sqref="I15">
    <cfRule type="containsText" dxfId="17" priority="7" operator="containsText" text="Favourable (F)">
      <formula>NOT(ISERROR(SEARCH("Favourable (F)",I15)))</formula>
    </cfRule>
    <cfRule type="containsText" dxfId="16" priority="8" operator="containsText" text="Adverse (A)">
      <formula>NOT(ISERROR(SEARCH("Adverse (A)",I15)))</formula>
    </cfRule>
  </conditionalFormatting>
  <conditionalFormatting sqref="I20:I21">
    <cfRule type="containsText" dxfId="15" priority="5" operator="containsText" text="Favourable (F)">
      <formula>NOT(ISERROR(SEARCH("Favourable (F)",I20)))</formula>
    </cfRule>
    <cfRule type="containsText" dxfId="14" priority="6" operator="containsText" text="Adverse (A)">
      <formula>NOT(ISERROR(SEARCH("Adverse (A)",I20)))</formula>
    </cfRule>
  </conditionalFormatting>
  <conditionalFormatting sqref="I22">
    <cfRule type="containsText" dxfId="13" priority="3" operator="containsText" text="Favourable (F)">
      <formula>NOT(ISERROR(SEARCH("Favourable (F)",I22)))</formula>
    </cfRule>
    <cfRule type="containsText" dxfId="12" priority="4" operator="containsText" text="Adverse (A)">
      <formula>NOT(ISERROR(SEARCH("Adverse (A)",I22)))</formula>
    </cfRule>
  </conditionalFormatting>
  <conditionalFormatting sqref="I27">
    <cfRule type="containsText" dxfId="11" priority="1" operator="containsText" text="Favourable (F)">
      <formula>NOT(ISERROR(SEARCH("Favourable (F)",I27)))</formula>
    </cfRule>
    <cfRule type="containsText" dxfId="10" priority="2" operator="containsText" text="Adverse (A)">
      <formula>NOT(ISERROR(SEARCH("Adverse (A)",I27)))</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9D9C-E3EC-4AEC-9A56-E51DB898AB83}">
  <dimension ref="A1:XFD38"/>
  <sheetViews>
    <sheetView showGridLines="0" zoomScaleNormal="100" workbookViewId="0">
      <selection activeCell="A3" sqref="A3:H3"/>
    </sheetView>
  </sheetViews>
  <sheetFormatPr defaultRowHeight="14.4" x14ac:dyDescent="0.3"/>
  <cols>
    <col min="1" max="1" width="12.33203125" customWidth="1"/>
    <col min="2" max="2" width="58.6640625" customWidth="1"/>
    <col min="3" max="3" width="18.6640625" customWidth="1"/>
    <col min="4" max="4" width="19.44140625" customWidth="1"/>
    <col min="5" max="5" width="18.33203125" customWidth="1"/>
    <col min="6" max="6" width="20.44140625" customWidth="1"/>
    <col min="7" max="7" width="18.77734375" customWidth="1"/>
    <col min="8" max="8" width="16.88671875" customWidth="1"/>
    <col min="9" max="9" width="16.6640625" bestFit="1" customWidth="1"/>
    <col min="10" max="10" width="10.5546875" bestFit="1" customWidth="1"/>
  </cols>
  <sheetData>
    <row r="1" spans="1:16383" s="91" customFormat="1" ht="19.8" x14ac:dyDescent="0.3">
      <c r="A1" s="190" t="s">
        <v>297</v>
      </c>
      <c r="B1" s="190"/>
      <c r="C1" s="190"/>
      <c r="D1" s="190"/>
      <c r="E1" s="190"/>
      <c r="F1" s="190"/>
      <c r="G1" s="190"/>
      <c r="H1" s="190"/>
    </row>
    <row r="3" spans="1:16383" s="32" customFormat="1" ht="17.399999999999999" x14ac:dyDescent="0.35">
      <c r="A3" s="188" t="s">
        <v>168</v>
      </c>
      <c r="B3" s="188"/>
      <c r="C3" s="188"/>
      <c r="D3" s="188"/>
      <c r="E3" s="188"/>
      <c r="F3" s="188"/>
      <c r="G3" s="188"/>
      <c r="H3" s="188"/>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c r="XCI3" s="33"/>
      <c r="XCJ3" s="33"/>
      <c r="XCK3" s="33"/>
      <c r="XCL3" s="33"/>
      <c r="XCM3" s="33"/>
      <c r="XCN3" s="33"/>
      <c r="XCO3" s="33"/>
      <c r="XCP3" s="33"/>
      <c r="XCQ3" s="33"/>
      <c r="XCR3" s="33"/>
      <c r="XCS3" s="33"/>
      <c r="XCT3" s="33"/>
      <c r="XCU3" s="33"/>
      <c r="XCV3" s="33"/>
      <c r="XCW3" s="33"/>
      <c r="XCX3" s="33"/>
      <c r="XCY3" s="33"/>
      <c r="XCZ3" s="33"/>
      <c r="XDA3" s="33"/>
      <c r="XDB3" s="33"/>
      <c r="XDC3" s="33"/>
      <c r="XDD3" s="33"/>
      <c r="XDE3" s="33"/>
      <c r="XDF3" s="33"/>
      <c r="XDG3" s="33"/>
      <c r="XDH3" s="33"/>
      <c r="XDI3" s="33"/>
      <c r="XDJ3" s="33"/>
      <c r="XDK3" s="33"/>
      <c r="XDL3" s="33"/>
      <c r="XDM3" s="33"/>
      <c r="XDN3" s="33"/>
      <c r="XDO3" s="33"/>
      <c r="XDP3" s="33"/>
      <c r="XDQ3" s="33"/>
      <c r="XDR3" s="33"/>
      <c r="XDS3" s="33"/>
      <c r="XDT3" s="33"/>
      <c r="XDU3" s="33"/>
      <c r="XDV3" s="33"/>
      <c r="XDW3" s="33"/>
      <c r="XDX3" s="33"/>
      <c r="XDY3" s="33"/>
      <c r="XDZ3" s="33"/>
      <c r="XEA3" s="33"/>
      <c r="XEB3" s="33"/>
      <c r="XEC3" s="33"/>
      <c r="XED3" s="33"/>
      <c r="XEE3" s="33"/>
      <c r="XEF3" s="33"/>
      <c r="XEG3" s="33"/>
      <c r="XEH3" s="33"/>
      <c r="XEI3" s="33"/>
      <c r="XEJ3" s="33"/>
      <c r="XEK3" s="33"/>
      <c r="XEL3" s="33"/>
      <c r="XEM3" s="33"/>
      <c r="XEN3" s="33"/>
      <c r="XEO3" s="33"/>
      <c r="XEP3" s="33"/>
      <c r="XEQ3" s="33"/>
      <c r="XER3" s="33"/>
      <c r="XES3" s="33"/>
      <c r="XET3" s="33"/>
      <c r="XEU3" s="33"/>
      <c r="XEV3" s="33"/>
      <c r="XEW3" s="33"/>
      <c r="XEX3" s="33"/>
      <c r="XEY3" s="33"/>
      <c r="XEZ3" s="33"/>
      <c r="XFA3" s="33"/>
      <c r="XFB3" s="33"/>
      <c r="XFC3" s="33"/>
    </row>
    <row r="4" spans="1:16383" s="5" customFormat="1" ht="34.799999999999997" customHeight="1" x14ac:dyDescent="0.3">
      <c r="A4" s="17" t="s">
        <v>26</v>
      </c>
      <c r="B4" s="17" t="s">
        <v>169</v>
      </c>
      <c r="C4" s="17" t="s">
        <v>170</v>
      </c>
      <c r="D4" s="17" t="s">
        <v>171</v>
      </c>
      <c r="E4" s="17" t="s">
        <v>172</v>
      </c>
      <c r="F4" s="17" t="s">
        <v>173</v>
      </c>
      <c r="G4" s="17" t="s">
        <v>346</v>
      </c>
      <c r="H4" s="17" t="s">
        <v>174</v>
      </c>
    </row>
    <row r="5" spans="1:16383" ht="24" customHeight="1" x14ac:dyDescent="0.3">
      <c r="A5" s="20" t="s">
        <v>218</v>
      </c>
      <c r="B5" s="40" t="s">
        <v>176</v>
      </c>
      <c r="C5" s="18" t="s">
        <v>175</v>
      </c>
      <c r="D5" s="41">
        <v>0</v>
      </c>
      <c r="E5" s="19">
        <f>'04_Actual_Production_&amp;_Costs'!F18</f>
        <v>6120000</v>
      </c>
      <c r="F5" s="19">
        <f>E5/'04_Actual_Production_&amp;_Costs'!$F$4</f>
        <v>63.75</v>
      </c>
      <c r="G5" s="42">
        <f>E5/E5</f>
        <v>1</v>
      </c>
      <c r="H5" s="43">
        <v>0</v>
      </c>
      <c r="I5" s="35"/>
      <c r="J5" s="36"/>
    </row>
    <row r="6" spans="1:16383" ht="24" customHeight="1" x14ac:dyDescent="0.3">
      <c r="A6" s="20" t="s">
        <v>201</v>
      </c>
      <c r="B6" s="40" t="s">
        <v>177</v>
      </c>
      <c r="C6" s="18" t="s">
        <v>192</v>
      </c>
      <c r="D6" s="44">
        <f>'05_Variance_Analysis'!F6</f>
        <v>66150</v>
      </c>
      <c r="E6" s="19">
        <f>E5-D6</f>
        <v>6053850</v>
      </c>
      <c r="F6" s="19">
        <f>D6/'04_Actual_Production_&amp;_Costs'!$F$4</f>
        <v>0.68906250000000002</v>
      </c>
      <c r="G6" s="42">
        <f>D6/$E$5</f>
        <v>1.0808823529411765E-2</v>
      </c>
      <c r="H6" s="26" t="str">
        <f>IF(D6&gt;=0,"Favourable (F)","Adverse (A)")</f>
        <v>Favourable (F)</v>
      </c>
      <c r="J6" s="36"/>
    </row>
    <row r="7" spans="1:16383" ht="24" customHeight="1" x14ac:dyDescent="0.3">
      <c r="A7" s="20" t="s">
        <v>202</v>
      </c>
      <c r="B7" s="40" t="s">
        <v>179</v>
      </c>
      <c r="C7" s="18" t="s">
        <v>192</v>
      </c>
      <c r="D7" s="44">
        <f>'05_Variance_Analysis'!G6</f>
        <v>-97650</v>
      </c>
      <c r="E7" s="19">
        <f t="shared" ref="E7:E17" si="0">E6-D7</f>
        <v>6151500</v>
      </c>
      <c r="F7" s="19">
        <f>D7/'04_Actual_Production_&amp;_Costs'!$F$4</f>
        <v>-1.0171874999999999</v>
      </c>
      <c r="G7" s="42">
        <f t="shared" ref="G7:G21" si="1">D7/$E$5</f>
        <v>-1.5955882352941177E-2</v>
      </c>
      <c r="H7" s="26" t="str">
        <f t="shared" ref="H7:H18" si="2">IF(D7&gt;=0,"Favourable (F)","Adverse (A)")</f>
        <v>Adverse (A)</v>
      </c>
      <c r="J7" s="36"/>
    </row>
    <row r="8" spans="1:16383" ht="24" customHeight="1" x14ac:dyDescent="0.3">
      <c r="A8" s="20" t="s">
        <v>203</v>
      </c>
      <c r="B8" s="40" t="s">
        <v>178</v>
      </c>
      <c r="C8" s="18" t="s">
        <v>192</v>
      </c>
      <c r="D8" s="44">
        <f>'05_Variance_Analysis'!F7</f>
        <v>-109850</v>
      </c>
      <c r="E8" s="19">
        <f t="shared" si="0"/>
        <v>6261350</v>
      </c>
      <c r="F8" s="19">
        <f>D8/'04_Actual_Production_&amp;_Costs'!$F$4</f>
        <v>-1.1442708333333333</v>
      </c>
      <c r="G8" s="42">
        <f t="shared" si="1"/>
        <v>-1.7949346405228758E-2</v>
      </c>
      <c r="H8" s="26" t="str">
        <f t="shared" si="2"/>
        <v>Adverse (A)</v>
      </c>
      <c r="J8" s="36"/>
    </row>
    <row r="9" spans="1:16383" ht="24" customHeight="1" x14ac:dyDescent="0.3">
      <c r="A9" s="20" t="s">
        <v>204</v>
      </c>
      <c r="B9" s="40" t="s">
        <v>180</v>
      </c>
      <c r="C9" s="18" t="s">
        <v>192</v>
      </c>
      <c r="D9" s="44">
        <f>'05_Variance_Analysis'!G7</f>
        <v>37050</v>
      </c>
      <c r="E9" s="19">
        <f t="shared" si="0"/>
        <v>6224300</v>
      </c>
      <c r="F9" s="19">
        <f>D9/'04_Actual_Production_&amp;_Costs'!$F$4</f>
        <v>0.38593749999999999</v>
      </c>
      <c r="G9" s="42">
        <f t="shared" si="1"/>
        <v>6.053921568627451E-3</v>
      </c>
      <c r="H9" s="26" t="str">
        <f t="shared" si="2"/>
        <v>Favourable (F)</v>
      </c>
      <c r="J9" s="36"/>
    </row>
    <row r="10" spans="1:16383" ht="24" customHeight="1" x14ac:dyDescent="0.3">
      <c r="A10" s="20" t="s">
        <v>205</v>
      </c>
      <c r="B10" s="40" t="s">
        <v>181</v>
      </c>
      <c r="C10" s="18" t="s">
        <v>193</v>
      </c>
      <c r="D10" s="44">
        <f>'05_Variance_Analysis'!F13</f>
        <v>-15840</v>
      </c>
      <c r="E10" s="19">
        <f t="shared" si="0"/>
        <v>6240140</v>
      </c>
      <c r="F10" s="19">
        <f>D10/'04_Actual_Production_&amp;_Costs'!$F$4</f>
        <v>-0.16500000000000001</v>
      </c>
      <c r="G10" s="42">
        <f t="shared" si="1"/>
        <v>-2.5882352941176473E-3</v>
      </c>
      <c r="H10" s="26" t="str">
        <f t="shared" si="2"/>
        <v>Adverse (A)</v>
      </c>
      <c r="J10" s="36"/>
    </row>
    <row r="11" spans="1:16383" ht="24" customHeight="1" x14ac:dyDescent="0.3">
      <c r="A11" s="20" t="s">
        <v>207</v>
      </c>
      <c r="B11" s="40" t="s">
        <v>182</v>
      </c>
      <c r="C11" s="18" t="s">
        <v>193</v>
      </c>
      <c r="D11" s="44">
        <f>'05_Variance_Analysis'!F14</f>
        <v>24300</v>
      </c>
      <c r="E11" s="19">
        <f t="shared" si="0"/>
        <v>6215840</v>
      </c>
      <c r="F11" s="19">
        <f>D11/'04_Actual_Production_&amp;_Costs'!$F$4</f>
        <v>0.25312499999999999</v>
      </c>
      <c r="G11" s="42">
        <f t="shared" si="1"/>
        <v>3.9705882352941172E-3</v>
      </c>
      <c r="H11" s="26" t="str">
        <f t="shared" si="2"/>
        <v>Favourable (F)</v>
      </c>
      <c r="J11" s="36"/>
    </row>
    <row r="12" spans="1:16383" ht="24" customHeight="1" x14ac:dyDescent="0.3">
      <c r="A12" s="20" t="s">
        <v>206</v>
      </c>
      <c r="B12" s="40" t="s">
        <v>183</v>
      </c>
      <c r="C12" s="18" t="s">
        <v>193</v>
      </c>
      <c r="D12" s="44">
        <f>'05_Variance_Analysis'!G13</f>
        <v>-13200</v>
      </c>
      <c r="E12" s="19">
        <f t="shared" si="0"/>
        <v>6229040</v>
      </c>
      <c r="F12" s="19">
        <f>D12/'04_Actual_Production_&amp;_Costs'!$F$4</f>
        <v>-0.13750000000000001</v>
      </c>
      <c r="G12" s="42">
        <f t="shared" si="1"/>
        <v>-2.1568627450980391E-3</v>
      </c>
      <c r="H12" s="26" t="str">
        <f t="shared" si="2"/>
        <v>Adverse (A)</v>
      </c>
      <c r="J12" s="36"/>
    </row>
    <row r="13" spans="1:16383" ht="24" customHeight="1" x14ac:dyDescent="0.3">
      <c r="A13" s="20" t="s">
        <v>208</v>
      </c>
      <c r="B13" s="40" t="s">
        <v>184</v>
      </c>
      <c r="C13" s="18" t="s">
        <v>193</v>
      </c>
      <c r="D13" s="44">
        <f>'05_Variance_Analysis'!G14</f>
        <v>-39900</v>
      </c>
      <c r="E13" s="19">
        <f t="shared" si="0"/>
        <v>6268940</v>
      </c>
      <c r="F13" s="19">
        <f>D13/'04_Actual_Production_&amp;_Costs'!$F$4</f>
        <v>-0.41562500000000002</v>
      </c>
      <c r="G13" s="42">
        <f t="shared" si="1"/>
        <v>-6.5196078431372546E-3</v>
      </c>
      <c r="H13" s="26" t="str">
        <f t="shared" si="2"/>
        <v>Adverse (A)</v>
      </c>
      <c r="J13" s="36"/>
    </row>
    <row r="14" spans="1:16383" ht="24" customHeight="1" x14ac:dyDescent="0.3">
      <c r="A14" s="20" t="s">
        <v>209</v>
      </c>
      <c r="B14" s="40" t="s">
        <v>185</v>
      </c>
      <c r="C14" s="18" t="s">
        <v>194</v>
      </c>
      <c r="D14" s="44">
        <f>'05_Variance_Analysis'!F20</f>
        <v>-12060</v>
      </c>
      <c r="E14" s="19">
        <f t="shared" si="0"/>
        <v>6281000</v>
      </c>
      <c r="F14" s="19">
        <f>D14/'04_Actual_Production_&amp;_Costs'!$F$4</f>
        <v>-0.12562499999999999</v>
      </c>
      <c r="G14" s="42">
        <f t="shared" si="1"/>
        <v>-1.9705882352941176E-3</v>
      </c>
      <c r="H14" s="26" t="str">
        <f t="shared" si="2"/>
        <v>Adverse (A)</v>
      </c>
      <c r="J14" s="36"/>
    </row>
    <row r="15" spans="1:16383" ht="24" customHeight="1" x14ac:dyDescent="0.3">
      <c r="A15" s="20" t="s">
        <v>349</v>
      </c>
      <c r="B15" s="40" t="s">
        <v>186</v>
      </c>
      <c r="C15" s="18" t="s">
        <v>194</v>
      </c>
      <c r="D15" s="44">
        <f>'05_Variance_Analysis'!G20</f>
        <v>-20250</v>
      </c>
      <c r="E15" s="19">
        <f t="shared" si="0"/>
        <v>6301250</v>
      </c>
      <c r="F15" s="19">
        <f>D15/'04_Actual_Production_&amp;_Costs'!$F$4</f>
        <v>-0.2109375</v>
      </c>
      <c r="G15" s="42">
        <f t="shared" si="1"/>
        <v>-3.3088235294117647E-3</v>
      </c>
      <c r="H15" s="26" t="str">
        <f t="shared" si="2"/>
        <v>Adverse (A)</v>
      </c>
      <c r="J15" s="36"/>
    </row>
    <row r="16" spans="1:16383" ht="24" customHeight="1" x14ac:dyDescent="0.3">
      <c r="A16" s="20" t="s">
        <v>210</v>
      </c>
      <c r="B16" s="40" t="s">
        <v>187</v>
      </c>
      <c r="C16" s="18" t="s">
        <v>195</v>
      </c>
      <c r="D16" s="44">
        <f>'05_Variance_Analysis'!F21</f>
        <v>-12000</v>
      </c>
      <c r="E16" s="19">
        <f t="shared" si="0"/>
        <v>6313250</v>
      </c>
      <c r="F16" s="19">
        <f>D16/'04_Actual_Production_&amp;_Costs'!$F$4</f>
        <v>-0.125</v>
      </c>
      <c r="G16" s="42">
        <f t="shared" si="1"/>
        <v>-1.9607843137254902E-3</v>
      </c>
      <c r="H16" s="26" t="str">
        <f t="shared" si="2"/>
        <v>Adverse (A)</v>
      </c>
      <c r="J16" s="36"/>
    </row>
    <row r="17" spans="1:16384" customFormat="1" ht="24" customHeight="1" x14ac:dyDescent="0.3">
      <c r="A17" s="20" t="s">
        <v>211</v>
      </c>
      <c r="B17" s="40" t="s">
        <v>188</v>
      </c>
      <c r="C17" s="18" t="s">
        <v>195</v>
      </c>
      <c r="D17" s="44">
        <f>'05_Variance_Analysis'!G21</f>
        <v>-26400</v>
      </c>
      <c r="E17" s="19">
        <f t="shared" si="0"/>
        <v>6339650</v>
      </c>
      <c r="F17" s="19">
        <f>D17/'04_Actual_Production_&amp;_Costs'!$F$4</f>
        <v>-0.27500000000000002</v>
      </c>
      <c r="G17" s="42">
        <f t="shared" si="1"/>
        <v>-4.3137254901960782E-3</v>
      </c>
      <c r="H17" s="26" t="str">
        <f t="shared" si="2"/>
        <v>Adverse (A)</v>
      </c>
      <c r="J17" s="36"/>
    </row>
    <row r="18" spans="1:16384" s="5" customFormat="1" ht="24" customHeight="1" thickBot="1" x14ac:dyDescent="0.35">
      <c r="A18" s="45" t="s">
        <v>212</v>
      </c>
      <c r="B18" s="46" t="s">
        <v>200</v>
      </c>
      <c r="C18" s="45" t="s">
        <v>196</v>
      </c>
      <c r="D18" s="47">
        <f>SUM(D6:D17)</f>
        <v>-219650</v>
      </c>
      <c r="E18" s="48">
        <f>E17</f>
        <v>6339650</v>
      </c>
      <c r="F18" s="48">
        <f>D18/'04_Actual_Production_&amp;_Costs'!$F$4</f>
        <v>-2.2880208333333334</v>
      </c>
      <c r="G18" s="49">
        <f t="shared" si="1"/>
        <v>-3.5890522875816996E-2</v>
      </c>
      <c r="H18" s="37" t="str">
        <f t="shared" si="2"/>
        <v>Adverse (A)</v>
      </c>
      <c r="J18" s="36"/>
    </row>
    <row r="19" spans="1:16384" s="5" customFormat="1" ht="24" customHeight="1" thickBot="1" x14ac:dyDescent="0.35">
      <c r="A19" s="57" t="s">
        <v>213</v>
      </c>
      <c r="B19" s="58" t="s">
        <v>189</v>
      </c>
      <c r="C19" s="57" t="s">
        <v>197</v>
      </c>
      <c r="D19" s="59">
        <v>0</v>
      </c>
      <c r="E19" s="62">
        <f>$E$5-D18</f>
        <v>6339650</v>
      </c>
      <c r="F19" s="62">
        <f>E19/'04_Actual_Production_&amp;_Costs'!$F$4</f>
        <v>66.038020833333334</v>
      </c>
      <c r="G19" s="60">
        <f>E19/$E$5</f>
        <v>1.0358905228758171</v>
      </c>
      <c r="H19" s="61" t="s">
        <v>215</v>
      </c>
      <c r="J19" s="16"/>
    </row>
    <row r="20" spans="1:16384" s="5" customFormat="1" ht="24" customHeight="1" thickTop="1" thickBot="1" x14ac:dyDescent="0.35">
      <c r="A20" s="50" t="s">
        <v>217</v>
      </c>
      <c r="B20" s="51" t="s">
        <v>190</v>
      </c>
      <c r="C20" s="50" t="s">
        <v>198</v>
      </c>
      <c r="D20" s="52">
        <v>0</v>
      </c>
      <c r="E20" s="53">
        <f>'04_Actual_Production_&amp;_Costs'!I18</f>
        <v>6339650</v>
      </c>
      <c r="F20" s="53">
        <f>E20/'04_Actual_Production_&amp;_Costs'!$F$4</f>
        <v>66.038020833333334</v>
      </c>
      <c r="G20" s="54">
        <f>E20/$E$5</f>
        <v>1.0358905228758171</v>
      </c>
      <c r="H20" s="55" t="s">
        <v>216</v>
      </c>
    </row>
    <row r="21" spans="1:16384" s="5" customFormat="1" ht="24" customHeight="1" thickBot="1" x14ac:dyDescent="0.35">
      <c r="A21" s="57" t="s">
        <v>214</v>
      </c>
      <c r="B21" s="58" t="s">
        <v>191</v>
      </c>
      <c r="C21" s="57" t="s">
        <v>199</v>
      </c>
      <c r="D21" s="59">
        <v>0</v>
      </c>
      <c r="E21" s="59">
        <f>E19-E20</f>
        <v>0</v>
      </c>
      <c r="F21" s="59">
        <f>E21/'04_Actual_Production_&amp;_Costs'!$F$4</f>
        <v>0</v>
      </c>
      <c r="G21" s="60">
        <f t="shared" si="1"/>
        <v>0</v>
      </c>
      <c r="H21" s="61" t="str">
        <f>IF(ROUND(ABS(E21),2)=0,"Pass (Reconciled)", "Check Error")</f>
        <v>Pass (Reconciled)</v>
      </c>
    </row>
    <row r="22" spans="1:16384" customFormat="1" ht="15" thickTop="1" x14ac:dyDescent="0.3"/>
    <row r="24" spans="1:16384" s="12" customFormat="1" ht="17.399999999999999" x14ac:dyDescent="0.35">
      <c r="A24" s="188" t="s">
        <v>224</v>
      </c>
      <c r="B24" s="188"/>
      <c r="C24" s="188"/>
      <c r="D24" s="188"/>
      <c r="E24" s="188"/>
      <c r="F24" s="188"/>
      <c r="G24" s="188"/>
      <c r="H24" s="188"/>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89"/>
      <c r="BD24" s="189"/>
      <c r="BE24" s="189"/>
      <c r="BF24" s="189"/>
      <c r="BG24" s="189"/>
      <c r="BH24" s="189"/>
      <c r="BI24" s="189"/>
      <c r="BJ24" s="189"/>
      <c r="BK24" s="189"/>
      <c r="BL24" s="189"/>
      <c r="BM24" s="189"/>
      <c r="BN24" s="189"/>
      <c r="BO24" s="189"/>
      <c r="BP24" s="189"/>
      <c r="BQ24" s="189"/>
      <c r="BR24" s="189"/>
      <c r="BS24" s="189"/>
      <c r="BT24" s="189"/>
      <c r="BU24" s="189"/>
      <c r="BV24" s="189"/>
      <c r="BW24" s="189"/>
      <c r="BX24" s="189"/>
      <c r="BY24" s="189"/>
      <c r="BZ24" s="189"/>
      <c r="CA24" s="189"/>
      <c r="CB24" s="189"/>
      <c r="CC24" s="189"/>
      <c r="CD24" s="189"/>
      <c r="CE24" s="189"/>
      <c r="CF24" s="189"/>
      <c r="CG24" s="189"/>
      <c r="CH24" s="189"/>
      <c r="CI24" s="189"/>
      <c r="CJ24" s="189"/>
      <c r="CK24" s="189"/>
      <c r="CL24" s="189"/>
      <c r="CM24" s="189"/>
      <c r="CN24" s="189"/>
      <c r="CO24" s="189"/>
      <c r="CP24" s="189"/>
      <c r="CQ24" s="189"/>
      <c r="CR24" s="189"/>
      <c r="CS24" s="189"/>
      <c r="CT24" s="189"/>
      <c r="CU24" s="189"/>
      <c r="CV24" s="189"/>
      <c r="CW24" s="189"/>
      <c r="CX24" s="189"/>
      <c r="CY24" s="189"/>
      <c r="CZ24" s="189"/>
      <c r="DA24" s="189"/>
      <c r="DB24" s="189"/>
      <c r="DC24" s="189"/>
      <c r="DD24" s="189"/>
      <c r="DE24" s="189"/>
      <c r="DF24" s="189"/>
      <c r="DG24" s="189"/>
      <c r="DH24" s="189"/>
      <c r="DI24" s="189"/>
      <c r="DJ24" s="189"/>
      <c r="DK24" s="189"/>
      <c r="DL24" s="189"/>
      <c r="DM24" s="189"/>
      <c r="DN24" s="189"/>
      <c r="DO24" s="189"/>
      <c r="DP24" s="189"/>
      <c r="DQ24" s="189"/>
      <c r="DR24" s="189"/>
      <c r="DS24" s="189"/>
      <c r="DT24" s="189"/>
      <c r="DU24" s="189"/>
      <c r="DV24" s="189"/>
      <c r="DW24" s="189"/>
      <c r="DX24" s="189"/>
      <c r="DY24" s="189"/>
      <c r="DZ24" s="189"/>
      <c r="EA24" s="189"/>
      <c r="EB24" s="189"/>
      <c r="EC24" s="189"/>
      <c r="ED24" s="189"/>
      <c r="EE24" s="189"/>
      <c r="EF24" s="189"/>
      <c r="EG24" s="189"/>
      <c r="EH24" s="189"/>
      <c r="EI24" s="189"/>
      <c r="EJ24" s="189"/>
      <c r="EK24" s="189"/>
      <c r="EL24" s="189"/>
      <c r="EM24" s="189"/>
      <c r="EN24" s="189"/>
      <c r="EO24" s="189"/>
      <c r="EP24" s="189"/>
      <c r="EQ24" s="189"/>
      <c r="ER24" s="189"/>
      <c r="ES24" s="189"/>
      <c r="ET24" s="189"/>
      <c r="EU24" s="189"/>
      <c r="EV24" s="189"/>
      <c r="EW24" s="189"/>
      <c r="EX24" s="189"/>
      <c r="EY24" s="189"/>
      <c r="EZ24" s="189"/>
      <c r="FA24" s="189"/>
      <c r="FB24" s="189"/>
      <c r="FC24" s="189"/>
      <c r="FD24" s="189"/>
      <c r="FE24" s="189"/>
      <c r="FF24" s="189"/>
      <c r="FG24" s="189"/>
      <c r="FH24" s="189"/>
      <c r="FI24" s="189"/>
      <c r="FJ24" s="189"/>
      <c r="FK24" s="189"/>
      <c r="FL24" s="189"/>
      <c r="FM24" s="189"/>
      <c r="FN24" s="189"/>
      <c r="FO24" s="189"/>
      <c r="FP24" s="189"/>
      <c r="FQ24" s="189"/>
      <c r="FR24" s="189"/>
      <c r="FS24" s="189"/>
      <c r="FT24" s="189"/>
      <c r="FU24" s="189"/>
      <c r="FV24" s="189"/>
      <c r="FW24" s="189"/>
      <c r="FX24" s="189"/>
      <c r="FY24" s="189"/>
      <c r="FZ24" s="189"/>
      <c r="GA24" s="189"/>
      <c r="GB24" s="189"/>
      <c r="GC24" s="189"/>
      <c r="GD24" s="189"/>
      <c r="GE24" s="189"/>
      <c r="GF24" s="189"/>
      <c r="GG24" s="189"/>
      <c r="GH24" s="189"/>
      <c r="GI24" s="189"/>
      <c r="GJ24" s="189"/>
      <c r="GK24" s="189"/>
      <c r="GL24" s="189"/>
      <c r="GM24" s="189"/>
      <c r="GN24" s="189"/>
      <c r="GO24" s="189"/>
      <c r="GP24" s="189"/>
      <c r="GQ24" s="189"/>
      <c r="GR24" s="189"/>
      <c r="GS24" s="189"/>
      <c r="GT24" s="189"/>
      <c r="GU24" s="189"/>
      <c r="GV24" s="189"/>
      <c r="GW24" s="189"/>
      <c r="GX24" s="189"/>
      <c r="GY24" s="189"/>
      <c r="GZ24" s="189"/>
      <c r="HA24" s="189"/>
      <c r="HB24" s="189"/>
      <c r="HC24" s="189"/>
      <c r="HD24" s="189"/>
      <c r="HE24" s="189"/>
      <c r="HF24" s="189"/>
      <c r="HG24" s="189"/>
      <c r="HH24" s="189"/>
      <c r="HI24" s="189"/>
      <c r="HJ24" s="189"/>
      <c r="HK24" s="189"/>
      <c r="HL24" s="189"/>
      <c r="HM24" s="189"/>
      <c r="HN24" s="189"/>
      <c r="HO24" s="189"/>
      <c r="HP24" s="189"/>
      <c r="HQ24" s="189"/>
      <c r="HR24" s="189"/>
      <c r="HS24" s="189"/>
      <c r="HT24" s="189"/>
      <c r="HU24" s="189"/>
      <c r="HV24" s="189"/>
      <c r="HW24" s="189"/>
      <c r="HX24" s="189"/>
      <c r="HY24" s="189"/>
      <c r="HZ24" s="189"/>
      <c r="IA24" s="189"/>
      <c r="IB24" s="189"/>
      <c r="IC24" s="189"/>
      <c r="ID24" s="189"/>
      <c r="IE24" s="189"/>
      <c r="IF24" s="189"/>
      <c r="IG24" s="189"/>
      <c r="IH24" s="189"/>
      <c r="II24" s="189"/>
      <c r="IJ24" s="189"/>
      <c r="IK24" s="189"/>
      <c r="IL24" s="189"/>
      <c r="IM24" s="189"/>
      <c r="IN24" s="189"/>
      <c r="IO24" s="189"/>
      <c r="IP24" s="189"/>
      <c r="IQ24" s="189"/>
      <c r="IR24" s="189"/>
      <c r="IS24" s="189"/>
      <c r="IT24" s="189"/>
      <c r="IU24" s="189"/>
      <c r="IV24" s="189"/>
      <c r="IW24" s="189"/>
      <c r="IX24" s="189"/>
      <c r="IY24" s="189"/>
      <c r="IZ24" s="189"/>
      <c r="JA24" s="189"/>
      <c r="JB24" s="189"/>
      <c r="JC24" s="189"/>
      <c r="JD24" s="189"/>
      <c r="JE24" s="189"/>
      <c r="JF24" s="189"/>
      <c r="JG24" s="189"/>
      <c r="JH24" s="189"/>
      <c r="JI24" s="189"/>
      <c r="JJ24" s="189"/>
      <c r="JK24" s="189"/>
      <c r="JL24" s="189"/>
      <c r="JM24" s="189"/>
      <c r="JN24" s="189"/>
      <c r="JO24" s="189"/>
      <c r="JP24" s="189"/>
      <c r="JQ24" s="189"/>
      <c r="JR24" s="189"/>
      <c r="JS24" s="189"/>
      <c r="JT24" s="189"/>
      <c r="JU24" s="189"/>
      <c r="JV24" s="189"/>
      <c r="JW24" s="189"/>
      <c r="JX24" s="189"/>
      <c r="JY24" s="189"/>
      <c r="JZ24" s="189"/>
      <c r="KA24" s="189"/>
      <c r="KB24" s="189"/>
      <c r="KC24" s="189"/>
      <c r="KD24" s="189"/>
      <c r="KE24" s="189"/>
      <c r="KF24" s="189"/>
      <c r="KG24" s="189"/>
      <c r="KH24" s="189"/>
      <c r="KI24" s="189"/>
      <c r="KJ24" s="189"/>
      <c r="KK24" s="189"/>
      <c r="KL24" s="189"/>
      <c r="KM24" s="189"/>
      <c r="KN24" s="189"/>
      <c r="KO24" s="189"/>
      <c r="KP24" s="189"/>
      <c r="KQ24" s="189"/>
      <c r="KR24" s="189"/>
      <c r="KS24" s="189"/>
      <c r="KT24" s="189"/>
      <c r="KU24" s="189"/>
      <c r="KV24" s="189"/>
      <c r="KW24" s="189"/>
      <c r="KX24" s="189"/>
      <c r="KY24" s="189"/>
      <c r="KZ24" s="189"/>
      <c r="LA24" s="189"/>
      <c r="LB24" s="189"/>
      <c r="LC24" s="189"/>
      <c r="LD24" s="189"/>
      <c r="LE24" s="189"/>
      <c r="LF24" s="189"/>
      <c r="LG24" s="189"/>
      <c r="LH24" s="189"/>
      <c r="LI24" s="189"/>
      <c r="LJ24" s="189"/>
      <c r="LK24" s="189"/>
      <c r="LL24" s="189"/>
      <c r="LM24" s="189"/>
      <c r="LN24" s="189"/>
      <c r="LO24" s="189"/>
      <c r="LP24" s="189"/>
      <c r="LQ24" s="189"/>
      <c r="LR24" s="189"/>
      <c r="LS24" s="189"/>
      <c r="LT24" s="189"/>
      <c r="LU24" s="189"/>
      <c r="LV24" s="189"/>
      <c r="LW24" s="189"/>
      <c r="LX24" s="189"/>
      <c r="LY24" s="189"/>
      <c r="LZ24" s="189"/>
      <c r="MA24" s="189"/>
      <c r="MB24" s="189"/>
      <c r="MC24" s="189"/>
      <c r="MD24" s="189"/>
      <c r="ME24" s="189"/>
      <c r="MF24" s="189"/>
      <c r="MG24" s="189"/>
      <c r="MH24" s="189"/>
      <c r="MI24" s="189"/>
      <c r="MJ24" s="189"/>
      <c r="MK24" s="189"/>
      <c r="ML24" s="189"/>
      <c r="MM24" s="189"/>
      <c r="MN24" s="189"/>
      <c r="MO24" s="189"/>
      <c r="MP24" s="189"/>
      <c r="MQ24" s="189"/>
      <c r="MR24" s="189"/>
      <c r="MS24" s="189"/>
      <c r="MT24" s="189"/>
      <c r="MU24" s="189"/>
      <c r="MV24" s="189"/>
      <c r="MW24" s="189"/>
      <c r="MX24" s="189"/>
      <c r="MY24" s="189"/>
      <c r="MZ24" s="189"/>
      <c r="NA24" s="189"/>
      <c r="NB24" s="189"/>
      <c r="NC24" s="189"/>
      <c r="ND24" s="189"/>
      <c r="NE24" s="189"/>
      <c r="NF24" s="189"/>
      <c r="NG24" s="189"/>
      <c r="NH24" s="189"/>
      <c r="NI24" s="189"/>
      <c r="NJ24" s="189"/>
      <c r="NK24" s="189"/>
      <c r="NL24" s="189"/>
      <c r="NM24" s="189"/>
      <c r="NN24" s="189"/>
      <c r="NO24" s="189"/>
      <c r="NP24" s="189"/>
      <c r="NQ24" s="189"/>
      <c r="NR24" s="189"/>
      <c r="NS24" s="189"/>
      <c r="NT24" s="189"/>
      <c r="NU24" s="189"/>
      <c r="NV24" s="189"/>
      <c r="NW24" s="189"/>
      <c r="NX24" s="189"/>
      <c r="NY24" s="189"/>
      <c r="NZ24" s="189"/>
      <c r="OA24" s="189"/>
      <c r="OB24" s="189"/>
      <c r="OC24" s="189"/>
      <c r="OD24" s="189"/>
      <c r="OE24" s="189"/>
      <c r="OF24" s="189"/>
      <c r="OG24" s="189"/>
      <c r="OH24" s="189"/>
      <c r="OI24" s="189"/>
      <c r="OJ24" s="189"/>
      <c r="OK24" s="189"/>
      <c r="OL24" s="189"/>
      <c r="OM24" s="189"/>
      <c r="ON24" s="189"/>
      <c r="OO24" s="189"/>
      <c r="OP24" s="189"/>
      <c r="OQ24" s="189"/>
      <c r="OR24" s="189"/>
      <c r="OS24" s="189"/>
      <c r="OT24" s="189"/>
      <c r="OU24" s="189"/>
      <c r="OV24" s="189"/>
      <c r="OW24" s="189"/>
      <c r="OX24" s="189"/>
      <c r="OY24" s="189"/>
      <c r="OZ24" s="189"/>
      <c r="PA24" s="189"/>
      <c r="PB24" s="189"/>
      <c r="PC24" s="189"/>
      <c r="PD24" s="189"/>
      <c r="PE24" s="189"/>
      <c r="PF24" s="189"/>
      <c r="PG24" s="189"/>
      <c r="PH24" s="189"/>
      <c r="PI24" s="189"/>
      <c r="PJ24" s="189"/>
      <c r="PK24" s="189"/>
      <c r="PL24" s="189"/>
      <c r="PM24" s="189"/>
      <c r="PN24" s="189"/>
      <c r="PO24" s="189"/>
      <c r="PP24" s="189"/>
      <c r="PQ24" s="189"/>
      <c r="PR24" s="189"/>
      <c r="PS24" s="189"/>
      <c r="PT24" s="189"/>
      <c r="PU24" s="189"/>
      <c r="PV24" s="189"/>
      <c r="PW24" s="189"/>
      <c r="PX24" s="189"/>
      <c r="PY24" s="189"/>
      <c r="PZ24" s="189"/>
      <c r="QA24" s="189"/>
      <c r="QB24" s="189"/>
      <c r="QC24" s="189"/>
      <c r="QD24" s="189"/>
      <c r="QE24" s="189"/>
      <c r="QF24" s="189"/>
      <c r="QG24" s="189"/>
      <c r="QH24" s="189"/>
      <c r="QI24" s="189"/>
      <c r="QJ24" s="189"/>
      <c r="QK24" s="189"/>
      <c r="QL24" s="189"/>
      <c r="QM24" s="189"/>
      <c r="QN24" s="189"/>
      <c r="QO24" s="189"/>
      <c r="QP24" s="189"/>
      <c r="QQ24" s="189"/>
      <c r="QR24" s="189"/>
      <c r="QS24" s="189"/>
      <c r="QT24" s="189"/>
      <c r="QU24" s="189"/>
      <c r="QV24" s="189"/>
      <c r="QW24" s="189"/>
      <c r="QX24" s="189"/>
      <c r="QY24" s="189"/>
      <c r="QZ24" s="189"/>
      <c r="RA24" s="189"/>
      <c r="RB24" s="189"/>
      <c r="RC24" s="189"/>
      <c r="RD24" s="189"/>
      <c r="RE24" s="189"/>
      <c r="RF24" s="189"/>
      <c r="RG24" s="189"/>
      <c r="RH24" s="189"/>
      <c r="RI24" s="189"/>
      <c r="RJ24" s="189"/>
      <c r="RK24" s="189"/>
      <c r="RL24" s="189"/>
      <c r="RM24" s="189"/>
      <c r="RN24" s="189"/>
      <c r="RO24" s="189"/>
      <c r="RP24" s="189"/>
      <c r="RQ24" s="189"/>
      <c r="RR24" s="189"/>
      <c r="RS24" s="189"/>
      <c r="RT24" s="189"/>
      <c r="RU24" s="189"/>
      <c r="RV24" s="189"/>
      <c r="RW24" s="189"/>
      <c r="RX24" s="189"/>
      <c r="RY24" s="189"/>
      <c r="RZ24" s="189"/>
      <c r="SA24" s="189"/>
      <c r="SB24" s="189"/>
      <c r="SC24" s="189"/>
      <c r="SD24" s="189"/>
      <c r="SE24" s="189"/>
      <c r="SF24" s="189"/>
      <c r="SG24" s="189"/>
      <c r="SH24" s="189"/>
      <c r="SI24" s="189"/>
      <c r="SJ24" s="189"/>
      <c r="SK24" s="189"/>
      <c r="SL24" s="189"/>
      <c r="SM24" s="189"/>
      <c r="SN24" s="189"/>
      <c r="SO24" s="189"/>
      <c r="SP24" s="189"/>
      <c r="SQ24" s="189"/>
      <c r="SR24" s="189"/>
      <c r="SS24" s="189"/>
      <c r="ST24" s="189"/>
      <c r="SU24" s="189"/>
      <c r="SV24" s="189"/>
      <c r="SW24" s="189"/>
      <c r="SX24" s="189"/>
      <c r="SY24" s="189"/>
      <c r="SZ24" s="189"/>
      <c r="TA24" s="189"/>
      <c r="TB24" s="189"/>
      <c r="TC24" s="189"/>
      <c r="TD24" s="189"/>
      <c r="TE24" s="189"/>
      <c r="TF24" s="189"/>
      <c r="TG24" s="189"/>
      <c r="TH24" s="189"/>
      <c r="TI24" s="189"/>
      <c r="TJ24" s="189"/>
      <c r="TK24" s="189"/>
      <c r="TL24" s="189"/>
      <c r="TM24" s="189"/>
      <c r="TN24" s="189"/>
      <c r="TO24" s="189"/>
      <c r="TP24" s="189"/>
      <c r="TQ24" s="189"/>
      <c r="TR24" s="189"/>
      <c r="TS24" s="189"/>
      <c r="TT24" s="189"/>
      <c r="TU24" s="189"/>
      <c r="TV24" s="189"/>
      <c r="TW24" s="189"/>
      <c r="TX24" s="189"/>
      <c r="TY24" s="189"/>
      <c r="TZ24" s="189"/>
      <c r="UA24" s="189"/>
      <c r="UB24" s="189"/>
      <c r="UC24" s="189"/>
      <c r="UD24" s="189"/>
      <c r="UE24" s="189"/>
      <c r="UF24" s="189"/>
      <c r="UG24" s="189"/>
      <c r="UH24" s="189"/>
      <c r="UI24" s="189"/>
      <c r="UJ24" s="189"/>
      <c r="UK24" s="189"/>
      <c r="UL24" s="189"/>
      <c r="UM24" s="189"/>
      <c r="UN24" s="189"/>
      <c r="UO24" s="189"/>
      <c r="UP24" s="189"/>
      <c r="UQ24" s="189"/>
      <c r="UR24" s="189"/>
      <c r="US24" s="189"/>
      <c r="UT24" s="189"/>
      <c r="UU24" s="189"/>
      <c r="UV24" s="189"/>
      <c r="UW24" s="189"/>
      <c r="UX24" s="189"/>
      <c r="UY24" s="189"/>
      <c r="UZ24" s="189"/>
      <c r="VA24" s="189"/>
      <c r="VB24" s="189"/>
      <c r="VC24" s="189"/>
      <c r="VD24" s="189"/>
      <c r="VE24" s="189"/>
      <c r="VF24" s="189"/>
      <c r="VG24" s="189"/>
      <c r="VH24" s="189"/>
      <c r="VI24" s="189"/>
      <c r="VJ24" s="189"/>
      <c r="VK24" s="189"/>
      <c r="VL24" s="189"/>
      <c r="VM24" s="189"/>
      <c r="VN24" s="189"/>
      <c r="VO24" s="189"/>
      <c r="VP24" s="189"/>
      <c r="VQ24" s="189"/>
      <c r="VR24" s="189"/>
      <c r="VS24" s="189"/>
      <c r="VT24" s="189"/>
      <c r="VU24" s="189"/>
      <c r="VV24" s="189"/>
      <c r="VW24" s="189"/>
      <c r="VX24" s="189"/>
      <c r="VY24" s="189"/>
      <c r="VZ24" s="189"/>
      <c r="WA24" s="189"/>
      <c r="WB24" s="189"/>
      <c r="WC24" s="189"/>
      <c r="WD24" s="189"/>
      <c r="WE24" s="189"/>
      <c r="WF24" s="189"/>
      <c r="WG24" s="189"/>
      <c r="WH24" s="189"/>
      <c r="WI24" s="189"/>
      <c r="WJ24" s="189"/>
      <c r="WK24" s="189"/>
      <c r="WL24" s="189"/>
      <c r="WM24" s="189"/>
      <c r="WN24" s="189"/>
      <c r="WO24" s="189"/>
      <c r="WP24" s="189"/>
      <c r="WQ24" s="189"/>
      <c r="WR24" s="189"/>
      <c r="WS24" s="189"/>
      <c r="WT24" s="189"/>
      <c r="WU24" s="189"/>
      <c r="WV24" s="189"/>
      <c r="WW24" s="189"/>
      <c r="WX24" s="189"/>
      <c r="WY24" s="189"/>
      <c r="WZ24" s="189"/>
      <c r="XA24" s="189"/>
      <c r="XB24" s="189"/>
      <c r="XC24" s="189"/>
      <c r="XD24" s="189"/>
      <c r="XE24" s="189"/>
      <c r="XF24" s="189"/>
      <c r="XG24" s="189"/>
      <c r="XH24" s="189"/>
      <c r="XI24" s="189"/>
      <c r="XJ24" s="189"/>
      <c r="XK24" s="189"/>
      <c r="XL24" s="189"/>
      <c r="XM24" s="189"/>
      <c r="XN24" s="189"/>
      <c r="XO24" s="189"/>
      <c r="XP24" s="189"/>
      <c r="XQ24" s="189"/>
      <c r="XR24" s="189"/>
      <c r="XS24" s="189"/>
      <c r="XT24" s="189"/>
      <c r="XU24" s="189"/>
      <c r="XV24" s="189"/>
      <c r="XW24" s="189"/>
      <c r="XX24" s="189"/>
      <c r="XY24" s="189"/>
      <c r="XZ24" s="189"/>
      <c r="YA24" s="189"/>
      <c r="YB24" s="189"/>
      <c r="YC24" s="189"/>
      <c r="YD24" s="189"/>
      <c r="YE24" s="189"/>
      <c r="YF24" s="189"/>
      <c r="YG24" s="189"/>
      <c r="YH24" s="189"/>
      <c r="YI24" s="189"/>
      <c r="YJ24" s="189"/>
      <c r="YK24" s="189"/>
      <c r="YL24" s="189"/>
      <c r="YM24" s="189"/>
      <c r="YN24" s="189"/>
      <c r="YO24" s="189"/>
      <c r="YP24" s="189"/>
      <c r="YQ24" s="189"/>
      <c r="YR24" s="189"/>
      <c r="YS24" s="189"/>
      <c r="YT24" s="189"/>
      <c r="YU24" s="189"/>
      <c r="YV24" s="189"/>
      <c r="YW24" s="189"/>
      <c r="YX24" s="189"/>
      <c r="YY24" s="189"/>
      <c r="YZ24" s="189"/>
      <c r="ZA24" s="189"/>
      <c r="ZB24" s="189"/>
      <c r="ZC24" s="189"/>
      <c r="ZD24" s="189"/>
      <c r="ZE24" s="189"/>
      <c r="ZF24" s="189"/>
      <c r="ZG24" s="189"/>
      <c r="ZH24" s="189"/>
      <c r="ZI24" s="189"/>
      <c r="ZJ24" s="189"/>
      <c r="ZK24" s="189"/>
      <c r="ZL24" s="189"/>
      <c r="ZM24" s="189"/>
      <c r="ZN24" s="189"/>
      <c r="ZO24" s="189"/>
      <c r="ZP24" s="189"/>
      <c r="ZQ24" s="189"/>
      <c r="ZR24" s="189"/>
      <c r="ZS24" s="189"/>
      <c r="ZT24" s="189"/>
      <c r="ZU24" s="189"/>
      <c r="ZV24" s="189"/>
      <c r="ZW24" s="189"/>
      <c r="ZX24" s="189"/>
      <c r="ZY24" s="189"/>
      <c r="ZZ24" s="189"/>
      <c r="AAA24" s="189"/>
      <c r="AAB24" s="189"/>
      <c r="AAC24" s="189"/>
      <c r="AAD24" s="189"/>
      <c r="AAE24" s="189"/>
      <c r="AAF24" s="189"/>
      <c r="AAG24" s="189"/>
      <c r="AAH24" s="189"/>
      <c r="AAI24" s="189"/>
      <c r="AAJ24" s="189"/>
      <c r="AAK24" s="189"/>
      <c r="AAL24" s="189"/>
      <c r="AAM24" s="189"/>
      <c r="AAN24" s="189"/>
      <c r="AAO24" s="189"/>
      <c r="AAP24" s="189"/>
      <c r="AAQ24" s="189"/>
      <c r="AAR24" s="189"/>
      <c r="AAS24" s="189"/>
      <c r="AAT24" s="189"/>
      <c r="AAU24" s="189"/>
      <c r="AAV24" s="189"/>
      <c r="AAW24" s="189"/>
      <c r="AAX24" s="189"/>
      <c r="AAY24" s="189"/>
      <c r="AAZ24" s="189"/>
      <c r="ABA24" s="189"/>
      <c r="ABB24" s="189"/>
      <c r="ABC24" s="189"/>
      <c r="ABD24" s="189"/>
      <c r="ABE24" s="189"/>
      <c r="ABF24" s="189"/>
      <c r="ABG24" s="189"/>
      <c r="ABH24" s="189"/>
      <c r="ABI24" s="189"/>
      <c r="ABJ24" s="189"/>
      <c r="ABK24" s="189"/>
      <c r="ABL24" s="189"/>
      <c r="ABM24" s="189"/>
      <c r="ABN24" s="189"/>
      <c r="ABO24" s="189"/>
      <c r="ABP24" s="189"/>
      <c r="ABQ24" s="189"/>
      <c r="ABR24" s="189"/>
      <c r="ABS24" s="189"/>
      <c r="ABT24" s="189"/>
      <c r="ABU24" s="189"/>
      <c r="ABV24" s="189"/>
      <c r="ABW24" s="189"/>
      <c r="ABX24" s="189"/>
      <c r="ABY24" s="189"/>
      <c r="ABZ24" s="189"/>
      <c r="ACA24" s="189"/>
      <c r="ACB24" s="189"/>
      <c r="ACC24" s="189"/>
      <c r="ACD24" s="189"/>
      <c r="ACE24" s="189"/>
      <c r="ACF24" s="189"/>
      <c r="ACG24" s="189"/>
      <c r="ACH24" s="189"/>
      <c r="ACI24" s="189"/>
      <c r="ACJ24" s="189"/>
      <c r="ACK24" s="189"/>
      <c r="ACL24" s="189"/>
      <c r="ACM24" s="189"/>
      <c r="ACN24" s="189"/>
      <c r="ACO24" s="189"/>
      <c r="ACP24" s="189"/>
      <c r="ACQ24" s="189"/>
      <c r="ACR24" s="189"/>
      <c r="ACS24" s="189"/>
      <c r="ACT24" s="189"/>
      <c r="ACU24" s="189"/>
      <c r="ACV24" s="189"/>
      <c r="ACW24" s="189"/>
      <c r="ACX24" s="189"/>
      <c r="ACY24" s="189"/>
      <c r="ACZ24" s="189"/>
      <c r="ADA24" s="189"/>
      <c r="ADB24" s="189"/>
      <c r="ADC24" s="189"/>
      <c r="ADD24" s="189"/>
      <c r="ADE24" s="189"/>
      <c r="ADF24" s="189"/>
      <c r="ADG24" s="189"/>
      <c r="ADH24" s="189"/>
      <c r="ADI24" s="189"/>
      <c r="ADJ24" s="189"/>
      <c r="ADK24" s="189"/>
      <c r="ADL24" s="189"/>
      <c r="ADM24" s="189"/>
      <c r="ADN24" s="189"/>
      <c r="ADO24" s="189"/>
      <c r="ADP24" s="189"/>
      <c r="ADQ24" s="189"/>
      <c r="ADR24" s="189"/>
      <c r="ADS24" s="189"/>
      <c r="ADT24" s="189"/>
      <c r="ADU24" s="189"/>
      <c r="ADV24" s="189"/>
      <c r="ADW24" s="189"/>
      <c r="ADX24" s="189"/>
      <c r="ADY24" s="189"/>
      <c r="ADZ24" s="189"/>
      <c r="AEA24" s="189"/>
      <c r="AEB24" s="189"/>
      <c r="AEC24" s="189"/>
      <c r="AED24" s="189"/>
      <c r="AEE24" s="189"/>
      <c r="AEF24" s="189"/>
      <c r="AEG24" s="189"/>
      <c r="AEH24" s="189"/>
      <c r="AEI24" s="189"/>
      <c r="AEJ24" s="189"/>
      <c r="AEK24" s="189"/>
      <c r="AEL24" s="189"/>
      <c r="AEM24" s="189"/>
      <c r="AEN24" s="189"/>
      <c r="AEO24" s="189"/>
      <c r="AEP24" s="189"/>
      <c r="AEQ24" s="189"/>
      <c r="AER24" s="189"/>
      <c r="AES24" s="189"/>
      <c r="AET24" s="189"/>
      <c r="AEU24" s="189"/>
      <c r="AEV24" s="189"/>
      <c r="AEW24" s="189"/>
      <c r="AEX24" s="189"/>
      <c r="AEY24" s="189"/>
      <c r="AEZ24" s="189"/>
      <c r="AFA24" s="189"/>
      <c r="AFB24" s="189"/>
      <c r="AFC24" s="189"/>
      <c r="AFD24" s="189"/>
      <c r="AFE24" s="189"/>
      <c r="AFF24" s="189"/>
      <c r="AFG24" s="189"/>
      <c r="AFH24" s="189"/>
      <c r="AFI24" s="189"/>
      <c r="AFJ24" s="189"/>
      <c r="AFK24" s="189"/>
      <c r="AFL24" s="189"/>
      <c r="AFM24" s="189"/>
      <c r="AFN24" s="189"/>
      <c r="AFO24" s="189"/>
      <c r="AFP24" s="189"/>
      <c r="AFQ24" s="189"/>
      <c r="AFR24" s="189"/>
      <c r="AFS24" s="189"/>
      <c r="AFT24" s="189"/>
      <c r="AFU24" s="189"/>
      <c r="AFV24" s="189"/>
      <c r="AFW24" s="189"/>
      <c r="AFX24" s="189"/>
      <c r="AFY24" s="189"/>
      <c r="AFZ24" s="189"/>
      <c r="AGA24" s="189"/>
      <c r="AGB24" s="189"/>
      <c r="AGC24" s="189"/>
      <c r="AGD24" s="189"/>
      <c r="AGE24" s="189"/>
      <c r="AGF24" s="189"/>
      <c r="AGG24" s="189"/>
      <c r="AGH24" s="189"/>
      <c r="AGI24" s="189"/>
      <c r="AGJ24" s="189"/>
      <c r="AGK24" s="189"/>
      <c r="AGL24" s="189"/>
      <c r="AGM24" s="189"/>
      <c r="AGN24" s="189"/>
      <c r="AGO24" s="189"/>
      <c r="AGP24" s="189"/>
      <c r="AGQ24" s="189"/>
      <c r="AGR24" s="189"/>
      <c r="AGS24" s="189"/>
      <c r="AGT24" s="189"/>
      <c r="AGU24" s="189"/>
      <c r="AGV24" s="189"/>
      <c r="AGW24" s="189"/>
      <c r="AGX24" s="189"/>
      <c r="AGY24" s="189"/>
      <c r="AGZ24" s="189"/>
      <c r="AHA24" s="189"/>
      <c r="AHB24" s="189"/>
      <c r="AHC24" s="189"/>
      <c r="AHD24" s="189"/>
      <c r="AHE24" s="189"/>
      <c r="AHF24" s="189"/>
      <c r="AHG24" s="189"/>
      <c r="AHH24" s="189"/>
      <c r="AHI24" s="189"/>
      <c r="AHJ24" s="189"/>
      <c r="AHK24" s="189"/>
      <c r="AHL24" s="189"/>
      <c r="AHM24" s="189"/>
      <c r="AHN24" s="189"/>
      <c r="AHO24" s="189"/>
      <c r="AHP24" s="189"/>
      <c r="AHQ24" s="189"/>
      <c r="AHR24" s="189"/>
      <c r="AHS24" s="189"/>
      <c r="AHT24" s="189"/>
      <c r="AHU24" s="189"/>
      <c r="AHV24" s="189"/>
      <c r="AHW24" s="189"/>
      <c r="AHX24" s="189"/>
      <c r="AHY24" s="189"/>
      <c r="AHZ24" s="189"/>
      <c r="AIA24" s="189"/>
      <c r="AIB24" s="189"/>
      <c r="AIC24" s="189"/>
      <c r="AID24" s="189"/>
      <c r="AIE24" s="189"/>
      <c r="AIF24" s="189"/>
      <c r="AIG24" s="189"/>
      <c r="AIH24" s="189"/>
      <c r="AII24" s="189"/>
      <c r="AIJ24" s="189"/>
      <c r="AIK24" s="189"/>
      <c r="AIL24" s="189"/>
      <c r="AIM24" s="189"/>
      <c r="AIN24" s="189"/>
      <c r="AIO24" s="189"/>
      <c r="AIP24" s="189"/>
      <c r="AIQ24" s="189"/>
      <c r="AIR24" s="189"/>
      <c r="AIS24" s="189"/>
      <c r="AIT24" s="189"/>
      <c r="AIU24" s="189"/>
      <c r="AIV24" s="189"/>
      <c r="AIW24" s="189"/>
      <c r="AIX24" s="189"/>
      <c r="AIY24" s="189"/>
      <c r="AIZ24" s="189"/>
      <c r="AJA24" s="189"/>
      <c r="AJB24" s="189"/>
      <c r="AJC24" s="189"/>
      <c r="AJD24" s="189"/>
      <c r="AJE24" s="189"/>
      <c r="AJF24" s="189"/>
      <c r="AJG24" s="189"/>
      <c r="AJH24" s="189"/>
      <c r="AJI24" s="189"/>
      <c r="AJJ24" s="189"/>
      <c r="AJK24" s="189"/>
      <c r="AJL24" s="189"/>
      <c r="AJM24" s="189"/>
      <c r="AJN24" s="189"/>
      <c r="AJO24" s="189"/>
      <c r="AJP24" s="189"/>
      <c r="AJQ24" s="189"/>
      <c r="AJR24" s="189"/>
      <c r="AJS24" s="189"/>
      <c r="AJT24" s="189"/>
      <c r="AJU24" s="189"/>
      <c r="AJV24" s="189"/>
      <c r="AJW24" s="189"/>
      <c r="AJX24" s="189"/>
      <c r="AJY24" s="189"/>
      <c r="AJZ24" s="189"/>
      <c r="AKA24" s="189"/>
      <c r="AKB24" s="189"/>
      <c r="AKC24" s="189"/>
      <c r="AKD24" s="189"/>
      <c r="AKE24" s="189"/>
      <c r="AKF24" s="189"/>
      <c r="AKG24" s="189"/>
      <c r="AKH24" s="189"/>
      <c r="AKI24" s="189"/>
      <c r="AKJ24" s="189"/>
      <c r="AKK24" s="189"/>
      <c r="AKL24" s="189"/>
      <c r="AKM24" s="189"/>
      <c r="AKN24" s="189"/>
      <c r="AKO24" s="189"/>
      <c r="AKP24" s="189"/>
      <c r="AKQ24" s="189"/>
      <c r="AKR24" s="189"/>
      <c r="AKS24" s="189"/>
      <c r="AKT24" s="189"/>
      <c r="AKU24" s="189"/>
      <c r="AKV24" s="189"/>
      <c r="AKW24" s="189"/>
      <c r="AKX24" s="189"/>
      <c r="AKY24" s="189"/>
      <c r="AKZ24" s="189"/>
      <c r="ALA24" s="189"/>
      <c r="ALB24" s="189"/>
      <c r="ALC24" s="189"/>
      <c r="ALD24" s="189"/>
      <c r="ALE24" s="189"/>
      <c r="ALF24" s="189"/>
      <c r="ALG24" s="189"/>
      <c r="ALH24" s="189"/>
      <c r="ALI24" s="189"/>
      <c r="ALJ24" s="189"/>
      <c r="ALK24" s="189"/>
      <c r="ALL24" s="189"/>
      <c r="ALM24" s="189"/>
      <c r="ALN24" s="189"/>
      <c r="ALO24" s="189"/>
      <c r="ALP24" s="189"/>
      <c r="ALQ24" s="189"/>
      <c r="ALR24" s="189"/>
      <c r="ALS24" s="189"/>
      <c r="ALT24" s="189"/>
      <c r="ALU24" s="189"/>
      <c r="ALV24" s="189"/>
      <c r="ALW24" s="189"/>
      <c r="ALX24" s="189"/>
      <c r="ALY24" s="189"/>
      <c r="ALZ24" s="189"/>
      <c r="AMA24" s="189"/>
      <c r="AMB24" s="189"/>
      <c r="AMC24" s="189"/>
      <c r="AMD24" s="189"/>
      <c r="AME24" s="189"/>
      <c r="AMF24" s="189"/>
      <c r="AMG24" s="189"/>
      <c r="AMH24" s="189"/>
      <c r="AMI24" s="189"/>
      <c r="AMJ24" s="189"/>
      <c r="AMK24" s="189"/>
      <c r="AML24" s="189"/>
      <c r="AMM24" s="189"/>
      <c r="AMN24" s="189"/>
      <c r="AMO24" s="189"/>
      <c r="AMP24" s="189"/>
      <c r="AMQ24" s="189"/>
      <c r="AMR24" s="189"/>
      <c r="AMS24" s="189"/>
      <c r="AMT24" s="189"/>
      <c r="AMU24" s="189"/>
      <c r="AMV24" s="189"/>
      <c r="AMW24" s="189"/>
      <c r="AMX24" s="189"/>
      <c r="AMY24" s="189"/>
      <c r="AMZ24" s="189"/>
      <c r="ANA24" s="189"/>
      <c r="ANB24" s="189"/>
      <c r="ANC24" s="189"/>
      <c r="AND24" s="189"/>
      <c r="ANE24" s="189"/>
      <c r="ANF24" s="189"/>
      <c r="ANG24" s="189"/>
      <c r="ANH24" s="189"/>
      <c r="ANI24" s="189"/>
      <c r="ANJ24" s="189"/>
      <c r="ANK24" s="189"/>
      <c r="ANL24" s="189"/>
      <c r="ANM24" s="189"/>
      <c r="ANN24" s="189"/>
      <c r="ANO24" s="189"/>
      <c r="ANP24" s="189"/>
      <c r="ANQ24" s="189"/>
      <c r="ANR24" s="189"/>
      <c r="ANS24" s="189"/>
      <c r="ANT24" s="189"/>
      <c r="ANU24" s="189"/>
      <c r="ANV24" s="189"/>
      <c r="ANW24" s="189"/>
      <c r="ANX24" s="189"/>
      <c r="ANY24" s="189"/>
      <c r="ANZ24" s="189"/>
      <c r="AOA24" s="189"/>
      <c r="AOB24" s="189"/>
      <c r="AOC24" s="189"/>
      <c r="AOD24" s="189"/>
      <c r="AOE24" s="189"/>
      <c r="AOF24" s="189"/>
      <c r="AOG24" s="189"/>
      <c r="AOH24" s="189"/>
      <c r="AOI24" s="189"/>
      <c r="AOJ24" s="189"/>
      <c r="AOK24" s="189"/>
      <c r="AOL24" s="189"/>
      <c r="AOM24" s="189"/>
      <c r="AON24" s="189"/>
      <c r="AOO24" s="189"/>
      <c r="AOP24" s="189"/>
      <c r="AOQ24" s="189"/>
      <c r="AOR24" s="189"/>
      <c r="AOS24" s="189"/>
      <c r="AOT24" s="189"/>
      <c r="AOU24" s="189"/>
      <c r="AOV24" s="189"/>
      <c r="AOW24" s="189"/>
      <c r="AOX24" s="189"/>
      <c r="AOY24" s="189"/>
      <c r="AOZ24" s="189"/>
      <c r="APA24" s="189"/>
      <c r="APB24" s="189"/>
      <c r="APC24" s="189"/>
      <c r="APD24" s="189"/>
      <c r="APE24" s="189"/>
      <c r="APF24" s="189"/>
      <c r="APG24" s="189"/>
      <c r="APH24" s="189"/>
      <c r="API24" s="189"/>
      <c r="APJ24" s="189"/>
      <c r="APK24" s="189"/>
      <c r="APL24" s="189"/>
      <c r="APM24" s="189"/>
      <c r="APN24" s="189"/>
      <c r="APO24" s="189"/>
      <c r="APP24" s="189"/>
      <c r="APQ24" s="189"/>
      <c r="APR24" s="189"/>
      <c r="APS24" s="189"/>
      <c r="APT24" s="189"/>
      <c r="APU24" s="189"/>
      <c r="APV24" s="189"/>
      <c r="APW24" s="189"/>
      <c r="APX24" s="189"/>
      <c r="APY24" s="189"/>
      <c r="APZ24" s="189"/>
      <c r="AQA24" s="189"/>
      <c r="AQB24" s="189"/>
      <c r="AQC24" s="189"/>
      <c r="AQD24" s="189"/>
      <c r="AQE24" s="189"/>
      <c r="AQF24" s="189"/>
      <c r="AQG24" s="189"/>
      <c r="AQH24" s="189"/>
      <c r="AQI24" s="189"/>
      <c r="AQJ24" s="189"/>
      <c r="AQK24" s="189"/>
      <c r="AQL24" s="189"/>
      <c r="AQM24" s="189"/>
      <c r="AQN24" s="189"/>
      <c r="AQO24" s="189"/>
      <c r="AQP24" s="189"/>
      <c r="AQQ24" s="189"/>
      <c r="AQR24" s="189"/>
      <c r="AQS24" s="189"/>
      <c r="AQT24" s="189"/>
      <c r="AQU24" s="189"/>
      <c r="AQV24" s="189"/>
      <c r="AQW24" s="189"/>
      <c r="AQX24" s="189"/>
      <c r="AQY24" s="189"/>
      <c r="AQZ24" s="189"/>
      <c r="ARA24" s="189"/>
      <c r="ARB24" s="189"/>
      <c r="ARC24" s="189"/>
      <c r="ARD24" s="189"/>
      <c r="ARE24" s="189"/>
      <c r="ARF24" s="189"/>
      <c r="ARG24" s="189"/>
      <c r="ARH24" s="189"/>
      <c r="ARI24" s="189"/>
      <c r="ARJ24" s="189"/>
      <c r="ARK24" s="189"/>
      <c r="ARL24" s="189"/>
      <c r="ARM24" s="189"/>
      <c r="ARN24" s="189"/>
      <c r="ARO24" s="189"/>
      <c r="ARP24" s="189"/>
      <c r="ARQ24" s="189"/>
      <c r="ARR24" s="189"/>
      <c r="ARS24" s="189"/>
      <c r="ART24" s="189"/>
      <c r="ARU24" s="189"/>
      <c r="ARV24" s="189"/>
      <c r="ARW24" s="189"/>
      <c r="ARX24" s="189"/>
      <c r="ARY24" s="189"/>
      <c r="ARZ24" s="189"/>
      <c r="ASA24" s="189"/>
      <c r="ASB24" s="189"/>
      <c r="ASC24" s="189"/>
      <c r="ASD24" s="189"/>
      <c r="ASE24" s="189"/>
      <c r="ASF24" s="189"/>
      <c r="ASG24" s="189"/>
      <c r="ASH24" s="189"/>
      <c r="ASI24" s="189"/>
      <c r="ASJ24" s="189"/>
      <c r="ASK24" s="189"/>
      <c r="ASL24" s="189"/>
      <c r="ASM24" s="189"/>
      <c r="ASN24" s="189"/>
      <c r="ASO24" s="189"/>
      <c r="ASP24" s="189"/>
      <c r="ASQ24" s="189"/>
      <c r="ASR24" s="189"/>
      <c r="ASS24" s="189"/>
      <c r="AST24" s="189"/>
      <c r="ASU24" s="189"/>
      <c r="ASV24" s="189"/>
      <c r="ASW24" s="189"/>
      <c r="ASX24" s="189"/>
      <c r="ASY24" s="189"/>
      <c r="ASZ24" s="189"/>
      <c r="ATA24" s="189"/>
      <c r="ATB24" s="189"/>
      <c r="ATC24" s="189"/>
      <c r="ATD24" s="189"/>
      <c r="ATE24" s="189"/>
      <c r="ATF24" s="189"/>
      <c r="ATG24" s="189"/>
      <c r="ATH24" s="189"/>
      <c r="ATI24" s="189"/>
      <c r="ATJ24" s="189"/>
      <c r="ATK24" s="189"/>
      <c r="ATL24" s="189"/>
      <c r="ATM24" s="189"/>
      <c r="ATN24" s="189"/>
      <c r="ATO24" s="189"/>
      <c r="ATP24" s="189"/>
      <c r="ATQ24" s="189"/>
      <c r="ATR24" s="189"/>
      <c r="ATS24" s="189"/>
      <c r="ATT24" s="189"/>
      <c r="ATU24" s="189"/>
      <c r="ATV24" s="189"/>
      <c r="ATW24" s="189"/>
      <c r="ATX24" s="189"/>
      <c r="ATY24" s="189"/>
      <c r="ATZ24" s="189"/>
      <c r="AUA24" s="189"/>
      <c r="AUB24" s="189"/>
      <c r="AUC24" s="189"/>
      <c r="AUD24" s="189"/>
      <c r="AUE24" s="189"/>
      <c r="AUF24" s="189"/>
      <c r="AUG24" s="189"/>
      <c r="AUH24" s="189"/>
      <c r="AUI24" s="189"/>
      <c r="AUJ24" s="189"/>
      <c r="AUK24" s="189"/>
      <c r="AUL24" s="189"/>
      <c r="AUM24" s="189"/>
      <c r="AUN24" s="189"/>
      <c r="AUO24" s="189"/>
      <c r="AUP24" s="189"/>
      <c r="AUQ24" s="189"/>
      <c r="AUR24" s="189"/>
      <c r="AUS24" s="189"/>
      <c r="AUT24" s="189"/>
      <c r="AUU24" s="189"/>
      <c r="AUV24" s="189"/>
      <c r="AUW24" s="189"/>
      <c r="AUX24" s="189"/>
      <c r="AUY24" s="189"/>
      <c r="AUZ24" s="189"/>
      <c r="AVA24" s="189"/>
      <c r="AVB24" s="189"/>
      <c r="AVC24" s="189"/>
      <c r="AVD24" s="189"/>
      <c r="AVE24" s="189"/>
      <c r="AVF24" s="189"/>
      <c r="AVG24" s="189"/>
      <c r="AVH24" s="189"/>
      <c r="AVI24" s="189"/>
      <c r="AVJ24" s="189"/>
      <c r="AVK24" s="189"/>
      <c r="AVL24" s="189"/>
      <c r="AVM24" s="189"/>
      <c r="AVN24" s="189"/>
      <c r="AVO24" s="189"/>
      <c r="AVP24" s="189"/>
      <c r="AVQ24" s="189"/>
      <c r="AVR24" s="189"/>
      <c r="AVS24" s="189"/>
      <c r="AVT24" s="189"/>
      <c r="AVU24" s="189"/>
      <c r="AVV24" s="189"/>
      <c r="AVW24" s="189"/>
      <c r="AVX24" s="189"/>
      <c r="AVY24" s="189"/>
      <c r="AVZ24" s="189"/>
      <c r="AWA24" s="189"/>
      <c r="AWB24" s="189"/>
      <c r="AWC24" s="189"/>
      <c r="AWD24" s="189"/>
      <c r="AWE24" s="189"/>
      <c r="AWF24" s="189"/>
      <c r="AWG24" s="189"/>
      <c r="AWH24" s="189"/>
      <c r="AWI24" s="189"/>
      <c r="AWJ24" s="189"/>
      <c r="AWK24" s="189"/>
      <c r="AWL24" s="189"/>
      <c r="AWM24" s="189"/>
      <c r="AWN24" s="189"/>
      <c r="AWO24" s="189"/>
      <c r="AWP24" s="189"/>
      <c r="AWQ24" s="189"/>
      <c r="AWR24" s="189"/>
      <c r="AWS24" s="189"/>
      <c r="AWT24" s="189"/>
      <c r="AWU24" s="189"/>
      <c r="AWV24" s="189"/>
      <c r="AWW24" s="189"/>
      <c r="AWX24" s="189"/>
      <c r="AWY24" s="189"/>
      <c r="AWZ24" s="189"/>
      <c r="AXA24" s="189"/>
      <c r="AXB24" s="189"/>
      <c r="AXC24" s="189"/>
      <c r="AXD24" s="189"/>
      <c r="AXE24" s="189"/>
      <c r="AXF24" s="189"/>
      <c r="AXG24" s="189"/>
      <c r="AXH24" s="189"/>
      <c r="AXI24" s="189"/>
      <c r="AXJ24" s="189"/>
      <c r="AXK24" s="189"/>
      <c r="AXL24" s="189"/>
      <c r="AXM24" s="189"/>
      <c r="AXN24" s="189"/>
      <c r="AXO24" s="189"/>
      <c r="AXP24" s="189"/>
      <c r="AXQ24" s="189"/>
      <c r="AXR24" s="189"/>
      <c r="AXS24" s="189"/>
      <c r="AXT24" s="189"/>
      <c r="AXU24" s="189"/>
      <c r="AXV24" s="189"/>
      <c r="AXW24" s="189"/>
      <c r="AXX24" s="189"/>
      <c r="AXY24" s="189"/>
      <c r="AXZ24" s="189"/>
      <c r="AYA24" s="189"/>
      <c r="AYB24" s="189"/>
      <c r="AYC24" s="189"/>
      <c r="AYD24" s="189"/>
      <c r="AYE24" s="189"/>
      <c r="AYF24" s="189"/>
      <c r="AYG24" s="189"/>
      <c r="AYH24" s="189"/>
      <c r="AYI24" s="189"/>
      <c r="AYJ24" s="189"/>
      <c r="AYK24" s="189"/>
      <c r="AYL24" s="189"/>
      <c r="AYM24" s="189"/>
      <c r="AYN24" s="189"/>
      <c r="AYO24" s="189"/>
      <c r="AYP24" s="189"/>
      <c r="AYQ24" s="189"/>
      <c r="AYR24" s="189"/>
      <c r="AYS24" s="189"/>
      <c r="AYT24" s="189"/>
      <c r="AYU24" s="189"/>
      <c r="AYV24" s="189"/>
      <c r="AYW24" s="189"/>
      <c r="AYX24" s="189"/>
      <c r="AYY24" s="189"/>
      <c r="AYZ24" s="189"/>
      <c r="AZA24" s="189"/>
      <c r="AZB24" s="189"/>
      <c r="AZC24" s="189"/>
      <c r="AZD24" s="189"/>
      <c r="AZE24" s="189"/>
      <c r="AZF24" s="189"/>
      <c r="AZG24" s="189"/>
      <c r="AZH24" s="189"/>
      <c r="AZI24" s="189"/>
      <c r="AZJ24" s="189"/>
      <c r="AZK24" s="189"/>
      <c r="AZL24" s="189"/>
      <c r="AZM24" s="189"/>
      <c r="AZN24" s="189"/>
      <c r="AZO24" s="189"/>
      <c r="AZP24" s="189"/>
      <c r="AZQ24" s="189"/>
      <c r="AZR24" s="189"/>
      <c r="AZS24" s="189"/>
      <c r="AZT24" s="189"/>
      <c r="AZU24" s="189"/>
      <c r="AZV24" s="189"/>
      <c r="AZW24" s="189"/>
      <c r="AZX24" s="189"/>
      <c r="AZY24" s="189"/>
      <c r="AZZ24" s="189"/>
      <c r="BAA24" s="189"/>
      <c r="BAB24" s="189"/>
      <c r="BAC24" s="189"/>
      <c r="BAD24" s="189"/>
      <c r="BAE24" s="189"/>
      <c r="BAF24" s="189"/>
      <c r="BAG24" s="189"/>
      <c r="BAH24" s="189"/>
      <c r="BAI24" s="189"/>
      <c r="BAJ24" s="189"/>
      <c r="BAK24" s="189"/>
      <c r="BAL24" s="189"/>
      <c r="BAM24" s="189"/>
      <c r="BAN24" s="189"/>
      <c r="BAO24" s="189"/>
      <c r="BAP24" s="189"/>
      <c r="BAQ24" s="189"/>
      <c r="BAR24" s="189"/>
      <c r="BAS24" s="189"/>
      <c r="BAT24" s="189"/>
      <c r="BAU24" s="189"/>
      <c r="BAV24" s="189"/>
      <c r="BAW24" s="189"/>
      <c r="BAX24" s="189"/>
      <c r="BAY24" s="189"/>
      <c r="BAZ24" s="189"/>
      <c r="BBA24" s="189"/>
      <c r="BBB24" s="189"/>
      <c r="BBC24" s="189"/>
      <c r="BBD24" s="189"/>
      <c r="BBE24" s="189"/>
      <c r="BBF24" s="189"/>
      <c r="BBG24" s="189"/>
      <c r="BBH24" s="189"/>
      <c r="BBI24" s="189"/>
      <c r="BBJ24" s="189"/>
      <c r="BBK24" s="189"/>
      <c r="BBL24" s="189"/>
      <c r="BBM24" s="189"/>
      <c r="BBN24" s="189"/>
      <c r="BBO24" s="189"/>
      <c r="BBP24" s="189"/>
      <c r="BBQ24" s="189"/>
      <c r="BBR24" s="189"/>
      <c r="BBS24" s="189"/>
      <c r="BBT24" s="189"/>
      <c r="BBU24" s="189"/>
      <c r="BBV24" s="189"/>
      <c r="BBW24" s="189"/>
      <c r="BBX24" s="189"/>
      <c r="BBY24" s="189"/>
      <c r="BBZ24" s="189"/>
      <c r="BCA24" s="189"/>
      <c r="BCB24" s="189"/>
      <c r="BCC24" s="189"/>
      <c r="BCD24" s="189"/>
      <c r="BCE24" s="189"/>
      <c r="BCF24" s="189"/>
      <c r="BCG24" s="189"/>
      <c r="BCH24" s="189"/>
      <c r="BCI24" s="189"/>
      <c r="BCJ24" s="189"/>
      <c r="BCK24" s="189"/>
      <c r="BCL24" s="189"/>
      <c r="BCM24" s="189"/>
      <c r="BCN24" s="189"/>
      <c r="BCO24" s="189"/>
      <c r="BCP24" s="189"/>
      <c r="BCQ24" s="189"/>
      <c r="BCR24" s="189"/>
      <c r="BCS24" s="189"/>
      <c r="BCT24" s="189"/>
      <c r="BCU24" s="189"/>
      <c r="BCV24" s="189"/>
      <c r="BCW24" s="189"/>
      <c r="BCX24" s="189"/>
      <c r="BCY24" s="189"/>
      <c r="BCZ24" s="189"/>
      <c r="BDA24" s="189"/>
      <c r="BDB24" s="189"/>
      <c r="BDC24" s="189"/>
      <c r="BDD24" s="189"/>
      <c r="BDE24" s="189"/>
      <c r="BDF24" s="189"/>
      <c r="BDG24" s="189"/>
      <c r="BDH24" s="189"/>
      <c r="BDI24" s="189"/>
      <c r="BDJ24" s="189"/>
      <c r="BDK24" s="189"/>
      <c r="BDL24" s="189"/>
      <c r="BDM24" s="189"/>
      <c r="BDN24" s="189"/>
      <c r="BDO24" s="189"/>
      <c r="BDP24" s="189"/>
      <c r="BDQ24" s="189"/>
      <c r="BDR24" s="189"/>
      <c r="BDS24" s="189"/>
      <c r="BDT24" s="189"/>
      <c r="BDU24" s="189"/>
      <c r="BDV24" s="189"/>
      <c r="BDW24" s="189"/>
      <c r="BDX24" s="189"/>
      <c r="BDY24" s="189"/>
      <c r="BDZ24" s="189"/>
      <c r="BEA24" s="189"/>
      <c r="BEB24" s="189"/>
      <c r="BEC24" s="189"/>
      <c r="BED24" s="189"/>
      <c r="BEE24" s="189"/>
      <c r="BEF24" s="189"/>
      <c r="BEG24" s="189"/>
      <c r="BEH24" s="189"/>
      <c r="BEI24" s="189"/>
      <c r="BEJ24" s="189"/>
      <c r="BEK24" s="189"/>
      <c r="BEL24" s="189"/>
      <c r="BEM24" s="189"/>
      <c r="BEN24" s="189"/>
      <c r="BEO24" s="189"/>
      <c r="BEP24" s="189"/>
      <c r="BEQ24" s="189"/>
      <c r="BER24" s="189"/>
      <c r="BES24" s="189"/>
      <c r="BET24" s="189"/>
      <c r="BEU24" s="189"/>
      <c r="BEV24" s="189"/>
      <c r="BEW24" s="189"/>
      <c r="BEX24" s="189"/>
      <c r="BEY24" s="189"/>
      <c r="BEZ24" s="189"/>
      <c r="BFA24" s="189"/>
      <c r="BFB24" s="189"/>
      <c r="BFC24" s="189"/>
      <c r="BFD24" s="189"/>
      <c r="BFE24" s="189"/>
      <c r="BFF24" s="189"/>
      <c r="BFG24" s="189"/>
      <c r="BFH24" s="189"/>
      <c r="BFI24" s="189"/>
      <c r="BFJ24" s="189"/>
      <c r="BFK24" s="189"/>
      <c r="BFL24" s="189"/>
      <c r="BFM24" s="189"/>
      <c r="BFN24" s="189"/>
      <c r="BFO24" s="189"/>
      <c r="BFP24" s="189"/>
      <c r="BFQ24" s="189"/>
      <c r="BFR24" s="189"/>
      <c r="BFS24" s="189"/>
      <c r="BFT24" s="189"/>
      <c r="BFU24" s="189"/>
      <c r="BFV24" s="189"/>
      <c r="BFW24" s="189"/>
      <c r="BFX24" s="189"/>
      <c r="BFY24" s="189"/>
      <c r="BFZ24" s="189"/>
      <c r="BGA24" s="189"/>
      <c r="BGB24" s="189"/>
      <c r="BGC24" s="189"/>
      <c r="BGD24" s="189"/>
      <c r="BGE24" s="189"/>
      <c r="BGF24" s="189"/>
      <c r="BGG24" s="189"/>
      <c r="BGH24" s="189"/>
      <c r="BGI24" s="189"/>
      <c r="BGJ24" s="189"/>
      <c r="BGK24" s="189"/>
      <c r="BGL24" s="189"/>
      <c r="BGM24" s="189"/>
      <c r="BGN24" s="189"/>
      <c r="BGO24" s="189"/>
      <c r="BGP24" s="189"/>
      <c r="BGQ24" s="189"/>
      <c r="BGR24" s="189"/>
      <c r="BGS24" s="189"/>
      <c r="BGT24" s="189"/>
      <c r="BGU24" s="189"/>
      <c r="BGV24" s="189"/>
      <c r="BGW24" s="189"/>
      <c r="BGX24" s="189"/>
      <c r="BGY24" s="189"/>
      <c r="BGZ24" s="189"/>
      <c r="BHA24" s="189"/>
      <c r="BHB24" s="189"/>
      <c r="BHC24" s="189"/>
      <c r="BHD24" s="189"/>
      <c r="BHE24" s="189"/>
      <c r="BHF24" s="189"/>
      <c r="BHG24" s="189"/>
      <c r="BHH24" s="189"/>
      <c r="BHI24" s="189"/>
      <c r="BHJ24" s="189"/>
      <c r="BHK24" s="189"/>
      <c r="BHL24" s="189"/>
      <c r="BHM24" s="189"/>
      <c r="BHN24" s="189"/>
      <c r="BHO24" s="189"/>
      <c r="BHP24" s="189"/>
      <c r="BHQ24" s="189"/>
      <c r="BHR24" s="189"/>
      <c r="BHS24" s="189"/>
      <c r="BHT24" s="189"/>
      <c r="BHU24" s="189"/>
      <c r="BHV24" s="189"/>
      <c r="BHW24" s="189"/>
      <c r="BHX24" s="189"/>
      <c r="BHY24" s="189"/>
      <c r="BHZ24" s="189"/>
      <c r="BIA24" s="189"/>
      <c r="BIB24" s="189"/>
      <c r="BIC24" s="189"/>
      <c r="BID24" s="189"/>
      <c r="BIE24" s="189"/>
      <c r="BIF24" s="189"/>
      <c r="BIG24" s="189"/>
      <c r="BIH24" s="189"/>
      <c r="BII24" s="189"/>
      <c r="BIJ24" s="189"/>
      <c r="BIK24" s="189"/>
      <c r="BIL24" s="189"/>
      <c r="BIM24" s="189"/>
      <c r="BIN24" s="189"/>
      <c r="BIO24" s="189"/>
      <c r="BIP24" s="189"/>
      <c r="BIQ24" s="189"/>
      <c r="BIR24" s="189"/>
      <c r="BIS24" s="189"/>
      <c r="BIT24" s="189"/>
      <c r="BIU24" s="189"/>
      <c r="BIV24" s="189"/>
      <c r="BIW24" s="189"/>
      <c r="BIX24" s="189"/>
      <c r="BIY24" s="189"/>
      <c r="BIZ24" s="189"/>
      <c r="BJA24" s="189"/>
      <c r="BJB24" s="189"/>
      <c r="BJC24" s="189"/>
      <c r="BJD24" s="189"/>
      <c r="BJE24" s="189"/>
      <c r="BJF24" s="189"/>
      <c r="BJG24" s="189"/>
      <c r="BJH24" s="189"/>
      <c r="BJI24" s="189"/>
      <c r="BJJ24" s="189"/>
      <c r="BJK24" s="189"/>
      <c r="BJL24" s="189"/>
      <c r="BJM24" s="189"/>
      <c r="BJN24" s="189"/>
      <c r="BJO24" s="189"/>
      <c r="BJP24" s="189"/>
      <c r="BJQ24" s="189"/>
      <c r="BJR24" s="189"/>
      <c r="BJS24" s="189"/>
      <c r="BJT24" s="189"/>
      <c r="BJU24" s="189"/>
      <c r="BJV24" s="189"/>
      <c r="BJW24" s="189"/>
      <c r="BJX24" s="189"/>
      <c r="BJY24" s="189"/>
      <c r="BJZ24" s="189"/>
      <c r="BKA24" s="189"/>
      <c r="BKB24" s="189"/>
      <c r="BKC24" s="189"/>
      <c r="BKD24" s="189"/>
      <c r="BKE24" s="189"/>
      <c r="BKF24" s="189"/>
      <c r="BKG24" s="189"/>
      <c r="BKH24" s="189"/>
      <c r="BKI24" s="189"/>
      <c r="BKJ24" s="189"/>
      <c r="BKK24" s="189"/>
      <c r="BKL24" s="189"/>
      <c r="BKM24" s="189"/>
      <c r="BKN24" s="189"/>
      <c r="BKO24" s="189"/>
      <c r="BKP24" s="189"/>
      <c r="BKQ24" s="189"/>
      <c r="BKR24" s="189"/>
      <c r="BKS24" s="189"/>
      <c r="BKT24" s="189"/>
      <c r="BKU24" s="189"/>
      <c r="BKV24" s="189"/>
      <c r="BKW24" s="189"/>
      <c r="BKX24" s="189"/>
      <c r="BKY24" s="189"/>
      <c r="BKZ24" s="189"/>
      <c r="BLA24" s="189"/>
      <c r="BLB24" s="189"/>
      <c r="BLC24" s="189"/>
      <c r="BLD24" s="189"/>
      <c r="BLE24" s="189"/>
      <c r="BLF24" s="189"/>
      <c r="BLG24" s="189"/>
      <c r="BLH24" s="189"/>
      <c r="BLI24" s="189"/>
      <c r="BLJ24" s="189"/>
      <c r="BLK24" s="189"/>
      <c r="BLL24" s="189"/>
      <c r="BLM24" s="189"/>
      <c r="BLN24" s="189"/>
      <c r="BLO24" s="189"/>
      <c r="BLP24" s="189"/>
      <c r="BLQ24" s="189"/>
      <c r="BLR24" s="189"/>
      <c r="BLS24" s="189"/>
      <c r="BLT24" s="189"/>
      <c r="BLU24" s="189"/>
      <c r="BLV24" s="189"/>
      <c r="BLW24" s="189"/>
      <c r="BLX24" s="189"/>
      <c r="BLY24" s="189"/>
      <c r="BLZ24" s="189"/>
      <c r="BMA24" s="189"/>
      <c r="BMB24" s="189"/>
      <c r="BMC24" s="189"/>
      <c r="BMD24" s="189"/>
      <c r="BME24" s="189"/>
      <c r="BMF24" s="189"/>
      <c r="BMG24" s="189"/>
      <c r="BMH24" s="189"/>
      <c r="BMI24" s="189"/>
      <c r="BMJ24" s="189"/>
      <c r="BMK24" s="189"/>
      <c r="BML24" s="189"/>
      <c r="BMM24" s="189"/>
      <c r="BMN24" s="189"/>
      <c r="BMO24" s="189"/>
      <c r="BMP24" s="189"/>
      <c r="BMQ24" s="189"/>
      <c r="BMR24" s="189"/>
      <c r="BMS24" s="189"/>
      <c r="BMT24" s="189"/>
      <c r="BMU24" s="189"/>
      <c r="BMV24" s="189"/>
      <c r="BMW24" s="189"/>
      <c r="BMX24" s="189"/>
      <c r="BMY24" s="189"/>
      <c r="BMZ24" s="189"/>
      <c r="BNA24" s="189"/>
      <c r="BNB24" s="189"/>
      <c r="BNC24" s="189"/>
      <c r="BND24" s="189"/>
      <c r="BNE24" s="189"/>
      <c r="BNF24" s="189"/>
      <c r="BNG24" s="189"/>
      <c r="BNH24" s="189"/>
      <c r="BNI24" s="189"/>
      <c r="BNJ24" s="189"/>
      <c r="BNK24" s="189"/>
      <c r="BNL24" s="189"/>
      <c r="BNM24" s="189"/>
      <c r="BNN24" s="189"/>
      <c r="BNO24" s="189"/>
      <c r="BNP24" s="189"/>
      <c r="BNQ24" s="189"/>
      <c r="BNR24" s="189"/>
      <c r="BNS24" s="189"/>
      <c r="BNT24" s="189"/>
      <c r="BNU24" s="189"/>
      <c r="BNV24" s="189"/>
      <c r="BNW24" s="189"/>
      <c r="BNX24" s="189"/>
      <c r="BNY24" s="189"/>
      <c r="BNZ24" s="189"/>
      <c r="BOA24" s="189"/>
      <c r="BOB24" s="189"/>
      <c r="BOC24" s="189"/>
      <c r="BOD24" s="189"/>
      <c r="BOE24" s="189"/>
      <c r="BOF24" s="189"/>
      <c r="BOG24" s="189"/>
      <c r="BOH24" s="189"/>
      <c r="BOI24" s="189"/>
      <c r="BOJ24" s="189"/>
      <c r="BOK24" s="189"/>
      <c r="BOL24" s="189"/>
      <c r="BOM24" s="189"/>
      <c r="BON24" s="189"/>
      <c r="BOO24" s="189"/>
      <c r="BOP24" s="189"/>
      <c r="BOQ24" s="189"/>
      <c r="BOR24" s="189"/>
      <c r="BOS24" s="189"/>
      <c r="BOT24" s="189"/>
      <c r="BOU24" s="189"/>
      <c r="BOV24" s="189"/>
      <c r="BOW24" s="189"/>
      <c r="BOX24" s="189"/>
      <c r="BOY24" s="189"/>
      <c r="BOZ24" s="189"/>
      <c r="BPA24" s="189"/>
      <c r="BPB24" s="189"/>
      <c r="BPC24" s="189"/>
      <c r="BPD24" s="189"/>
      <c r="BPE24" s="189"/>
      <c r="BPF24" s="189"/>
      <c r="BPG24" s="189"/>
      <c r="BPH24" s="189"/>
      <c r="BPI24" s="189"/>
      <c r="BPJ24" s="189"/>
      <c r="BPK24" s="189"/>
      <c r="BPL24" s="189"/>
      <c r="BPM24" s="189"/>
      <c r="BPN24" s="189"/>
      <c r="BPO24" s="189"/>
      <c r="BPP24" s="189"/>
      <c r="BPQ24" s="189"/>
      <c r="BPR24" s="189"/>
      <c r="BPS24" s="189"/>
      <c r="BPT24" s="189"/>
      <c r="BPU24" s="189"/>
      <c r="BPV24" s="189"/>
      <c r="BPW24" s="189"/>
      <c r="BPX24" s="189"/>
      <c r="BPY24" s="189"/>
      <c r="BPZ24" s="189"/>
      <c r="BQA24" s="189"/>
      <c r="BQB24" s="189"/>
      <c r="BQC24" s="189"/>
      <c r="BQD24" s="189"/>
      <c r="BQE24" s="189"/>
      <c r="BQF24" s="189"/>
      <c r="BQG24" s="189"/>
      <c r="BQH24" s="189"/>
      <c r="BQI24" s="189"/>
      <c r="BQJ24" s="189"/>
      <c r="BQK24" s="189"/>
      <c r="BQL24" s="189"/>
      <c r="BQM24" s="189"/>
      <c r="BQN24" s="189"/>
      <c r="BQO24" s="189"/>
      <c r="BQP24" s="189"/>
      <c r="BQQ24" s="189"/>
      <c r="BQR24" s="189"/>
      <c r="BQS24" s="189"/>
      <c r="BQT24" s="189"/>
      <c r="BQU24" s="189"/>
      <c r="BQV24" s="189"/>
      <c r="BQW24" s="189"/>
      <c r="BQX24" s="189"/>
      <c r="BQY24" s="189"/>
      <c r="BQZ24" s="189"/>
      <c r="BRA24" s="189"/>
      <c r="BRB24" s="189"/>
      <c r="BRC24" s="189"/>
      <c r="BRD24" s="189"/>
      <c r="BRE24" s="189"/>
      <c r="BRF24" s="189"/>
      <c r="BRG24" s="189"/>
      <c r="BRH24" s="189"/>
      <c r="BRI24" s="189"/>
      <c r="BRJ24" s="189"/>
      <c r="BRK24" s="189"/>
      <c r="BRL24" s="189"/>
      <c r="BRM24" s="189"/>
      <c r="BRN24" s="189"/>
      <c r="BRO24" s="189"/>
      <c r="BRP24" s="189"/>
      <c r="BRQ24" s="189"/>
      <c r="BRR24" s="189"/>
      <c r="BRS24" s="189"/>
      <c r="BRT24" s="189"/>
      <c r="BRU24" s="189"/>
      <c r="BRV24" s="189"/>
      <c r="BRW24" s="189"/>
      <c r="BRX24" s="189"/>
      <c r="BRY24" s="189"/>
      <c r="BRZ24" s="189"/>
      <c r="BSA24" s="189"/>
      <c r="BSB24" s="189"/>
      <c r="BSC24" s="189"/>
      <c r="BSD24" s="189"/>
      <c r="BSE24" s="189"/>
      <c r="BSF24" s="189"/>
      <c r="BSG24" s="189"/>
      <c r="BSH24" s="189"/>
      <c r="BSI24" s="189"/>
      <c r="BSJ24" s="189"/>
      <c r="BSK24" s="189"/>
      <c r="BSL24" s="189"/>
      <c r="BSM24" s="189"/>
      <c r="BSN24" s="189"/>
      <c r="BSO24" s="189"/>
      <c r="BSP24" s="189"/>
      <c r="BSQ24" s="189"/>
      <c r="BSR24" s="189"/>
      <c r="BSS24" s="189"/>
      <c r="BST24" s="189"/>
      <c r="BSU24" s="189"/>
      <c r="BSV24" s="189"/>
      <c r="BSW24" s="189"/>
      <c r="BSX24" s="189"/>
      <c r="BSY24" s="189"/>
      <c r="BSZ24" s="189"/>
      <c r="BTA24" s="189"/>
      <c r="BTB24" s="189"/>
      <c r="BTC24" s="189"/>
      <c r="BTD24" s="189"/>
      <c r="BTE24" s="189"/>
      <c r="BTF24" s="189"/>
      <c r="BTG24" s="189"/>
      <c r="BTH24" s="189"/>
      <c r="BTI24" s="189"/>
      <c r="BTJ24" s="189"/>
      <c r="BTK24" s="189"/>
      <c r="BTL24" s="189"/>
      <c r="BTM24" s="189"/>
      <c r="BTN24" s="189"/>
      <c r="BTO24" s="189"/>
      <c r="BTP24" s="189"/>
      <c r="BTQ24" s="189"/>
      <c r="BTR24" s="189"/>
      <c r="BTS24" s="189"/>
      <c r="BTT24" s="189"/>
      <c r="BTU24" s="189"/>
      <c r="BTV24" s="189"/>
      <c r="BTW24" s="189"/>
      <c r="BTX24" s="189"/>
      <c r="BTY24" s="189"/>
      <c r="BTZ24" s="189"/>
      <c r="BUA24" s="189"/>
      <c r="BUB24" s="189"/>
      <c r="BUC24" s="189"/>
      <c r="BUD24" s="189"/>
      <c r="BUE24" s="189"/>
      <c r="BUF24" s="189"/>
      <c r="BUG24" s="189"/>
      <c r="BUH24" s="189"/>
      <c r="BUI24" s="189"/>
      <c r="BUJ24" s="189"/>
      <c r="BUK24" s="189"/>
      <c r="BUL24" s="189"/>
      <c r="BUM24" s="189"/>
      <c r="BUN24" s="189"/>
      <c r="BUO24" s="189"/>
      <c r="BUP24" s="189"/>
      <c r="BUQ24" s="189"/>
      <c r="BUR24" s="189"/>
      <c r="BUS24" s="189"/>
      <c r="BUT24" s="189"/>
      <c r="BUU24" s="189"/>
      <c r="BUV24" s="189"/>
      <c r="BUW24" s="189"/>
      <c r="BUX24" s="189"/>
      <c r="BUY24" s="189"/>
      <c r="BUZ24" s="189"/>
      <c r="BVA24" s="189"/>
      <c r="BVB24" s="189"/>
      <c r="BVC24" s="189"/>
      <c r="BVD24" s="189"/>
      <c r="BVE24" s="189"/>
      <c r="BVF24" s="189"/>
      <c r="BVG24" s="189"/>
      <c r="BVH24" s="189"/>
      <c r="BVI24" s="189"/>
      <c r="BVJ24" s="189"/>
      <c r="BVK24" s="189"/>
      <c r="BVL24" s="189"/>
      <c r="BVM24" s="189"/>
      <c r="BVN24" s="189"/>
      <c r="BVO24" s="189"/>
      <c r="BVP24" s="189"/>
      <c r="BVQ24" s="189"/>
      <c r="BVR24" s="189"/>
      <c r="BVS24" s="189"/>
      <c r="BVT24" s="189"/>
      <c r="BVU24" s="189"/>
      <c r="BVV24" s="189"/>
      <c r="BVW24" s="189"/>
      <c r="BVX24" s="189"/>
      <c r="BVY24" s="189"/>
      <c r="BVZ24" s="189"/>
      <c r="BWA24" s="189"/>
      <c r="BWB24" s="189"/>
      <c r="BWC24" s="189"/>
      <c r="BWD24" s="189"/>
      <c r="BWE24" s="189"/>
      <c r="BWF24" s="189"/>
      <c r="BWG24" s="189"/>
      <c r="BWH24" s="189"/>
      <c r="BWI24" s="189"/>
      <c r="BWJ24" s="189"/>
      <c r="BWK24" s="189"/>
      <c r="BWL24" s="189"/>
      <c r="BWM24" s="189"/>
      <c r="BWN24" s="189"/>
      <c r="BWO24" s="189"/>
      <c r="BWP24" s="189"/>
      <c r="BWQ24" s="189"/>
      <c r="BWR24" s="189"/>
      <c r="BWS24" s="189"/>
      <c r="BWT24" s="189"/>
      <c r="BWU24" s="189"/>
      <c r="BWV24" s="189"/>
      <c r="BWW24" s="189"/>
      <c r="BWX24" s="189"/>
      <c r="BWY24" s="189"/>
      <c r="BWZ24" s="189"/>
      <c r="BXA24" s="189"/>
      <c r="BXB24" s="189"/>
      <c r="BXC24" s="189"/>
      <c r="BXD24" s="189"/>
      <c r="BXE24" s="189"/>
      <c r="BXF24" s="189"/>
      <c r="BXG24" s="189"/>
      <c r="BXH24" s="189"/>
      <c r="BXI24" s="189"/>
      <c r="BXJ24" s="189"/>
      <c r="BXK24" s="189"/>
      <c r="BXL24" s="189"/>
      <c r="BXM24" s="189"/>
      <c r="BXN24" s="189"/>
      <c r="BXO24" s="189"/>
      <c r="BXP24" s="189"/>
      <c r="BXQ24" s="189"/>
      <c r="BXR24" s="189"/>
      <c r="BXS24" s="189"/>
      <c r="BXT24" s="189"/>
      <c r="BXU24" s="189"/>
      <c r="BXV24" s="189"/>
      <c r="BXW24" s="189"/>
      <c r="BXX24" s="189"/>
      <c r="BXY24" s="189"/>
      <c r="BXZ24" s="189"/>
      <c r="BYA24" s="189"/>
      <c r="BYB24" s="189"/>
      <c r="BYC24" s="189"/>
      <c r="BYD24" s="189"/>
      <c r="BYE24" s="189"/>
      <c r="BYF24" s="189"/>
      <c r="BYG24" s="189"/>
      <c r="BYH24" s="189"/>
      <c r="BYI24" s="189"/>
      <c r="BYJ24" s="189"/>
      <c r="BYK24" s="189"/>
      <c r="BYL24" s="189"/>
      <c r="BYM24" s="189"/>
      <c r="BYN24" s="189"/>
      <c r="BYO24" s="189"/>
      <c r="BYP24" s="189"/>
      <c r="BYQ24" s="189"/>
      <c r="BYR24" s="189"/>
      <c r="BYS24" s="189"/>
      <c r="BYT24" s="189"/>
      <c r="BYU24" s="189"/>
      <c r="BYV24" s="189"/>
      <c r="BYW24" s="189"/>
      <c r="BYX24" s="189"/>
      <c r="BYY24" s="189"/>
      <c r="BYZ24" s="189"/>
      <c r="BZA24" s="189"/>
      <c r="BZB24" s="189"/>
      <c r="BZC24" s="189"/>
      <c r="BZD24" s="189"/>
      <c r="BZE24" s="189"/>
      <c r="BZF24" s="189"/>
      <c r="BZG24" s="189"/>
      <c r="BZH24" s="189"/>
      <c r="BZI24" s="189"/>
      <c r="BZJ24" s="189"/>
      <c r="BZK24" s="189"/>
      <c r="BZL24" s="189"/>
      <c r="BZM24" s="189"/>
      <c r="BZN24" s="189"/>
      <c r="BZO24" s="189"/>
      <c r="BZP24" s="189"/>
      <c r="BZQ24" s="189"/>
      <c r="BZR24" s="189"/>
      <c r="BZS24" s="189"/>
      <c r="BZT24" s="189"/>
      <c r="BZU24" s="189"/>
      <c r="BZV24" s="189"/>
      <c r="BZW24" s="189"/>
      <c r="BZX24" s="189"/>
      <c r="BZY24" s="189"/>
      <c r="BZZ24" s="189"/>
      <c r="CAA24" s="189"/>
      <c r="CAB24" s="189"/>
      <c r="CAC24" s="189"/>
      <c r="CAD24" s="189"/>
      <c r="CAE24" s="189"/>
      <c r="CAF24" s="189"/>
      <c r="CAG24" s="189"/>
      <c r="CAH24" s="189"/>
      <c r="CAI24" s="189"/>
      <c r="CAJ24" s="189"/>
      <c r="CAK24" s="189"/>
      <c r="CAL24" s="189"/>
      <c r="CAM24" s="189"/>
      <c r="CAN24" s="189"/>
      <c r="CAO24" s="189"/>
      <c r="CAP24" s="189"/>
      <c r="CAQ24" s="189"/>
      <c r="CAR24" s="189"/>
      <c r="CAS24" s="189"/>
      <c r="CAT24" s="189"/>
      <c r="CAU24" s="189"/>
      <c r="CAV24" s="189"/>
      <c r="CAW24" s="189"/>
      <c r="CAX24" s="189"/>
      <c r="CAY24" s="189"/>
      <c r="CAZ24" s="189"/>
      <c r="CBA24" s="189"/>
      <c r="CBB24" s="189"/>
      <c r="CBC24" s="189"/>
      <c r="CBD24" s="189"/>
      <c r="CBE24" s="189"/>
      <c r="CBF24" s="189"/>
      <c r="CBG24" s="189"/>
      <c r="CBH24" s="189"/>
      <c r="CBI24" s="189"/>
      <c r="CBJ24" s="189"/>
      <c r="CBK24" s="189"/>
      <c r="CBL24" s="189"/>
      <c r="CBM24" s="189"/>
      <c r="CBN24" s="189"/>
      <c r="CBO24" s="189"/>
      <c r="CBP24" s="189"/>
      <c r="CBQ24" s="189"/>
      <c r="CBR24" s="189"/>
      <c r="CBS24" s="189"/>
      <c r="CBT24" s="189"/>
      <c r="CBU24" s="189"/>
      <c r="CBV24" s="189"/>
      <c r="CBW24" s="189"/>
      <c r="CBX24" s="189"/>
      <c r="CBY24" s="189"/>
      <c r="CBZ24" s="189"/>
      <c r="CCA24" s="189"/>
      <c r="CCB24" s="189"/>
      <c r="CCC24" s="189"/>
      <c r="CCD24" s="189"/>
      <c r="CCE24" s="189"/>
      <c r="CCF24" s="189"/>
      <c r="CCG24" s="189"/>
      <c r="CCH24" s="189"/>
      <c r="CCI24" s="189"/>
      <c r="CCJ24" s="189"/>
      <c r="CCK24" s="189"/>
      <c r="CCL24" s="189"/>
      <c r="CCM24" s="189"/>
      <c r="CCN24" s="189"/>
      <c r="CCO24" s="189"/>
      <c r="CCP24" s="189"/>
      <c r="CCQ24" s="189"/>
      <c r="CCR24" s="189"/>
      <c r="CCS24" s="189"/>
      <c r="CCT24" s="189"/>
      <c r="CCU24" s="189"/>
      <c r="CCV24" s="189"/>
      <c r="CCW24" s="189"/>
      <c r="CCX24" s="189"/>
      <c r="CCY24" s="189"/>
      <c r="CCZ24" s="189"/>
      <c r="CDA24" s="189"/>
      <c r="CDB24" s="189"/>
      <c r="CDC24" s="189"/>
      <c r="CDD24" s="189"/>
      <c r="CDE24" s="189"/>
      <c r="CDF24" s="189"/>
      <c r="CDG24" s="189"/>
      <c r="CDH24" s="189"/>
      <c r="CDI24" s="189"/>
      <c r="CDJ24" s="189"/>
      <c r="CDK24" s="189"/>
      <c r="CDL24" s="189"/>
      <c r="CDM24" s="189"/>
      <c r="CDN24" s="189"/>
      <c r="CDO24" s="189"/>
      <c r="CDP24" s="189"/>
      <c r="CDQ24" s="189"/>
      <c r="CDR24" s="189"/>
      <c r="CDS24" s="189"/>
      <c r="CDT24" s="189"/>
      <c r="CDU24" s="189"/>
      <c r="CDV24" s="189"/>
      <c r="CDW24" s="189"/>
      <c r="CDX24" s="189"/>
      <c r="CDY24" s="189"/>
      <c r="CDZ24" s="189"/>
      <c r="CEA24" s="189"/>
      <c r="CEB24" s="189"/>
      <c r="CEC24" s="189"/>
      <c r="CED24" s="189"/>
      <c r="CEE24" s="189"/>
      <c r="CEF24" s="189"/>
      <c r="CEG24" s="189"/>
      <c r="CEH24" s="189"/>
      <c r="CEI24" s="189"/>
      <c r="CEJ24" s="189"/>
      <c r="CEK24" s="189"/>
      <c r="CEL24" s="189"/>
      <c r="CEM24" s="189"/>
      <c r="CEN24" s="189"/>
      <c r="CEO24" s="189"/>
      <c r="CEP24" s="189"/>
      <c r="CEQ24" s="189"/>
      <c r="CER24" s="189"/>
      <c r="CES24" s="189"/>
      <c r="CET24" s="189"/>
      <c r="CEU24" s="189"/>
      <c r="CEV24" s="189"/>
      <c r="CEW24" s="189"/>
      <c r="CEX24" s="189"/>
      <c r="CEY24" s="189"/>
      <c r="CEZ24" s="189"/>
      <c r="CFA24" s="189"/>
      <c r="CFB24" s="189"/>
      <c r="CFC24" s="189"/>
      <c r="CFD24" s="189"/>
      <c r="CFE24" s="189"/>
      <c r="CFF24" s="189"/>
      <c r="CFG24" s="189"/>
      <c r="CFH24" s="189"/>
      <c r="CFI24" s="189"/>
      <c r="CFJ24" s="189"/>
      <c r="CFK24" s="189"/>
      <c r="CFL24" s="189"/>
      <c r="CFM24" s="189"/>
      <c r="CFN24" s="189"/>
      <c r="CFO24" s="189"/>
      <c r="CFP24" s="189"/>
      <c r="CFQ24" s="189"/>
      <c r="CFR24" s="189"/>
      <c r="CFS24" s="189"/>
      <c r="CFT24" s="189"/>
      <c r="CFU24" s="189"/>
      <c r="CFV24" s="189"/>
      <c r="CFW24" s="189"/>
      <c r="CFX24" s="189"/>
      <c r="CFY24" s="189"/>
      <c r="CFZ24" s="189"/>
      <c r="CGA24" s="189"/>
      <c r="CGB24" s="189"/>
      <c r="CGC24" s="189"/>
      <c r="CGD24" s="189"/>
      <c r="CGE24" s="189"/>
      <c r="CGF24" s="189"/>
      <c r="CGG24" s="189"/>
      <c r="CGH24" s="189"/>
      <c r="CGI24" s="189"/>
      <c r="CGJ24" s="189"/>
      <c r="CGK24" s="189"/>
      <c r="CGL24" s="189"/>
      <c r="CGM24" s="189"/>
      <c r="CGN24" s="189"/>
      <c r="CGO24" s="189"/>
      <c r="CGP24" s="189"/>
      <c r="CGQ24" s="189"/>
      <c r="CGR24" s="189"/>
      <c r="CGS24" s="189"/>
      <c r="CGT24" s="189"/>
      <c r="CGU24" s="189"/>
      <c r="CGV24" s="189"/>
      <c r="CGW24" s="189"/>
      <c r="CGX24" s="189"/>
      <c r="CGY24" s="189"/>
      <c r="CGZ24" s="189"/>
      <c r="CHA24" s="189"/>
      <c r="CHB24" s="189"/>
      <c r="CHC24" s="189"/>
      <c r="CHD24" s="189"/>
      <c r="CHE24" s="189"/>
      <c r="CHF24" s="189"/>
      <c r="CHG24" s="189"/>
      <c r="CHH24" s="189"/>
      <c r="CHI24" s="189"/>
      <c r="CHJ24" s="189"/>
      <c r="CHK24" s="189"/>
      <c r="CHL24" s="189"/>
      <c r="CHM24" s="189"/>
      <c r="CHN24" s="189"/>
      <c r="CHO24" s="189"/>
      <c r="CHP24" s="189"/>
      <c r="CHQ24" s="189"/>
      <c r="CHR24" s="189"/>
      <c r="CHS24" s="189"/>
      <c r="CHT24" s="189"/>
      <c r="CHU24" s="189"/>
      <c r="CHV24" s="189"/>
      <c r="CHW24" s="189"/>
      <c r="CHX24" s="189"/>
      <c r="CHY24" s="189"/>
      <c r="CHZ24" s="189"/>
      <c r="CIA24" s="189"/>
      <c r="CIB24" s="189"/>
      <c r="CIC24" s="189"/>
      <c r="CID24" s="189"/>
      <c r="CIE24" s="189"/>
      <c r="CIF24" s="189"/>
      <c r="CIG24" s="189"/>
      <c r="CIH24" s="189"/>
      <c r="CII24" s="189"/>
      <c r="CIJ24" s="189"/>
      <c r="CIK24" s="189"/>
      <c r="CIL24" s="189"/>
      <c r="CIM24" s="189"/>
      <c r="CIN24" s="189"/>
      <c r="CIO24" s="189"/>
      <c r="CIP24" s="189"/>
      <c r="CIQ24" s="189"/>
      <c r="CIR24" s="189"/>
      <c r="CIS24" s="189"/>
      <c r="CIT24" s="189"/>
      <c r="CIU24" s="189"/>
      <c r="CIV24" s="189"/>
      <c r="CIW24" s="189"/>
      <c r="CIX24" s="189"/>
      <c r="CIY24" s="189"/>
      <c r="CIZ24" s="189"/>
      <c r="CJA24" s="189"/>
      <c r="CJB24" s="189"/>
      <c r="CJC24" s="189"/>
      <c r="CJD24" s="189"/>
      <c r="CJE24" s="189"/>
      <c r="CJF24" s="189"/>
      <c r="CJG24" s="189"/>
      <c r="CJH24" s="189"/>
      <c r="CJI24" s="189"/>
      <c r="CJJ24" s="189"/>
      <c r="CJK24" s="189"/>
      <c r="CJL24" s="189"/>
      <c r="CJM24" s="189"/>
      <c r="CJN24" s="189"/>
      <c r="CJO24" s="189"/>
      <c r="CJP24" s="189"/>
      <c r="CJQ24" s="189"/>
      <c r="CJR24" s="189"/>
      <c r="CJS24" s="189"/>
      <c r="CJT24" s="189"/>
      <c r="CJU24" s="189"/>
      <c r="CJV24" s="189"/>
      <c r="CJW24" s="189"/>
      <c r="CJX24" s="189"/>
      <c r="CJY24" s="189"/>
      <c r="CJZ24" s="189"/>
      <c r="CKA24" s="189"/>
      <c r="CKB24" s="189"/>
      <c r="CKC24" s="189"/>
      <c r="CKD24" s="189"/>
      <c r="CKE24" s="189"/>
      <c r="CKF24" s="189"/>
      <c r="CKG24" s="189"/>
      <c r="CKH24" s="189"/>
      <c r="CKI24" s="189"/>
      <c r="CKJ24" s="189"/>
      <c r="CKK24" s="189"/>
      <c r="CKL24" s="189"/>
      <c r="CKM24" s="189"/>
      <c r="CKN24" s="189"/>
      <c r="CKO24" s="189"/>
      <c r="CKP24" s="189"/>
      <c r="CKQ24" s="189"/>
      <c r="CKR24" s="189"/>
      <c r="CKS24" s="189"/>
      <c r="CKT24" s="189"/>
      <c r="CKU24" s="189"/>
      <c r="CKV24" s="189"/>
      <c r="CKW24" s="189"/>
      <c r="CKX24" s="189"/>
      <c r="CKY24" s="189"/>
      <c r="CKZ24" s="189"/>
      <c r="CLA24" s="189"/>
      <c r="CLB24" s="189"/>
      <c r="CLC24" s="189"/>
      <c r="CLD24" s="189"/>
      <c r="CLE24" s="189"/>
      <c r="CLF24" s="189"/>
      <c r="CLG24" s="189"/>
      <c r="CLH24" s="189"/>
      <c r="CLI24" s="189"/>
      <c r="CLJ24" s="189"/>
      <c r="CLK24" s="189"/>
      <c r="CLL24" s="189"/>
      <c r="CLM24" s="189"/>
      <c r="CLN24" s="189"/>
      <c r="CLO24" s="189"/>
      <c r="CLP24" s="189"/>
      <c r="CLQ24" s="189"/>
      <c r="CLR24" s="189"/>
      <c r="CLS24" s="189"/>
      <c r="CLT24" s="189"/>
      <c r="CLU24" s="189"/>
      <c r="CLV24" s="189"/>
      <c r="CLW24" s="189"/>
      <c r="CLX24" s="189"/>
      <c r="CLY24" s="189"/>
      <c r="CLZ24" s="189"/>
      <c r="CMA24" s="189"/>
      <c r="CMB24" s="189"/>
      <c r="CMC24" s="189"/>
      <c r="CMD24" s="189"/>
      <c r="CME24" s="189"/>
      <c r="CMF24" s="189"/>
      <c r="CMG24" s="189"/>
      <c r="CMH24" s="189"/>
      <c r="CMI24" s="189"/>
      <c r="CMJ24" s="189"/>
      <c r="CMK24" s="189"/>
      <c r="CML24" s="189"/>
      <c r="CMM24" s="189"/>
      <c r="CMN24" s="189"/>
      <c r="CMO24" s="189"/>
      <c r="CMP24" s="189"/>
      <c r="CMQ24" s="189"/>
      <c r="CMR24" s="189"/>
      <c r="CMS24" s="189"/>
      <c r="CMT24" s="189"/>
      <c r="CMU24" s="189"/>
      <c r="CMV24" s="189"/>
      <c r="CMW24" s="189"/>
      <c r="CMX24" s="189"/>
      <c r="CMY24" s="189"/>
      <c r="CMZ24" s="189"/>
      <c r="CNA24" s="189"/>
      <c r="CNB24" s="189"/>
      <c r="CNC24" s="189"/>
      <c r="CND24" s="189"/>
      <c r="CNE24" s="189"/>
      <c r="CNF24" s="189"/>
      <c r="CNG24" s="189"/>
      <c r="CNH24" s="189"/>
      <c r="CNI24" s="189"/>
      <c r="CNJ24" s="189"/>
      <c r="CNK24" s="189"/>
      <c r="CNL24" s="189"/>
      <c r="CNM24" s="189"/>
      <c r="CNN24" s="189"/>
      <c r="CNO24" s="189"/>
      <c r="CNP24" s="189"/>
      <c r="CNQ24" s="189"/>
      <c r="CNR24" s="189"/>
      <c r="CNS24" s="189"/>
      <c r="CNT24" s="189"/>
      <c r="CNU24" s="189"/>
      <c r="CNV24" s="189"/>
      <c r="CNW24" s="189"/>
      <c r="CNX24" s="189"/>
      <c r="CNY24" s="189"/>
      <c r="CNZ24" s="189"/>
      <c r="COA24" s="189"/>
      <c r="COB24" s="189"/>
      <c r="COC24" s="189"/>
      <c r="COD24" s="189"/>
      <c r="COE24" s="189"/>
      <c r="COF24" s="189"/>
      <c r="COG24" s="189"/>
      <c r="COH24" s="189"/>
      <c r="COI24" s="189"/>
      <c r="COJ24" s="189"/>
      <c r="COK24" s="189"/>
      <c r="COL24" s="189"/>
      <c r="COM24" s="189"/>
      <c r="CON24" s="189"/>
      <c r="COO24" s="189"/>
      <c r="COP24" s="189"/>
      <c r="COQ24" s="189"/>
      <c r="COR24" s="189"/>
      <c r="COS24" s="189"/>
      <c r="COT24" s="189"/>
      <c r="COU24" s="189"/>
      <c r="COV24" s="189"/>
      <c r="COW24" s="189"/>
      <c r="COX24" s="189"/>
      <c r="COY24" s="189"/>
      <c r="COZ24" s="189"/>
      <c r="CPA24" s="189"/>
      <c r="CPB24" s="189"/>
      <c r="CPC24" s="189"/>
      <c r="CPD24" s="189"/>
      <c r="CPE24" s="189"/>
      <c r="CPF24" s="189"/>
      <c r="CPG24" s="189"/>
      <c r="CPH24" s="189"/>
      <c r="CPI24" s="189"/>
      <c r="CPJ24" s="189"/>
      <c r="CPK24" s="189"/>
      <c r="CPL24" s="189"/>
      <c r="CPM24" s="189"/>
      <c r="CPN24" s="189"/>
      <c r="CPO24" s="189"/>
      <c r="CPP24" s="189"/>
      <c r="CPQ24" s="189"/>
      <c r="CPR24" s="189"/>
      <c r="CPS24" s="189"/>
      <c r="CPT24" s="189"/>
      <c r="CPU24" s="189"/>
      <c r="CPV24" s="189"/>
      <c r="CPW24" s="189"/>
      <c r="CPX24" s="189"/>
      <c r="CPY24" s="189"/>
      <c r="CPZ24" s="189"/>
      <c r="CQA24" s="189"/>
      <c r="CQB24" s="189"/>
      <c r="CQC24" s="189"/>
      <c r="CQD24" s="189"/>
      <c r="CQE24" s="189"/>
      <c r="CQF24" s="189"/>
      <c r="CQG24" s="189"/>
      <c r="CQH24" s="189"/>
      <c r="CQI24" s="189"/>
      <c r="CQJ24" s="189"/>
      <c r="CQK24" s="189"/>
      <c r="CQL24" s="189"/>
      <c r="CQM24" s="189"/>
      <c r="CQN24" s="189"/>
      <c r="CQO24" s="189"/>
      <c r="CQP24" s="189"/>
      <c r="CQQ24" s="189"/>
      <c r="CQR24" s="189"/>
      <c r="CQS24" s="189"/>
      <c r="CQT24" s="189"/>
      <c r="CQU24" s="189"/>
      <c r="CQV24" s="189"/>
      <c r="CQW24" s="189"/>
      <c r="CQX24" s="189"/>
      <c r="CQY24" s="189"/>
      <c r="CQZ24" s="189"/>
      <c r="CRA24" s="189"/>
      <c r="CRB24" s="189"/>
      <c r="CRC24" s="189"/>
      <c r="CRD24" s="189"/>
      <c r="CRE24" s="189"/>
      <c r="CRF24" s="189"/>
      <c r="CRG24" s="189"/>
      <c r="CRH24" s="189"/>
      <c r="CRI24" s="189"/>
      <c r="CRJ24" s="189"/>
      <c r="CRK24" s="189"/>
      <c r="CRL24" s="189"/>
      <c r="CRM24" s="189"/>
      <c r="CRN24" s="189"/>
      <c r="CRO24" s="189"/>
      <c r="CRP24" s="189"/>
      <c r="CRQ24" s="189"/>
      <c r="CRR24" s="189"/>
      <c r="CRS24" s="189"/>
      <c r="CRT24" s="189"/>
      <c r="CRU24" s="189"/>
      <c r="CRV24" s="189"/>
      <c r="CRW24" s="189"/>
      <c r="CRX24" s="189"/>
      <c r="CRY24" s="189"/>
      <c r="CRZ24" s="189"/>
      <c r="CSA24" s="189"/>
      <c r="CSB24" s="189"/>
      <c r="CSC24" s="189"/>
      <c r="CSD24" s="189"/>
      <c r="CSE24" s="189"/>
      <c r="CSF24" s="189"/>
      <c r="CSG24" s="189"/>
      <c r="CSH24" s="189"/>
      <c r="CSI24" s="189"/>
      <c r="CSJ24" s="189"/>
      <c r="CSK24" s="189"/>
      <c r="CSL24" s="189"/>
      <c r="CSM24" s="189"/>
      <c r="CSN24" s="189"/>
      <c r="CSO24" s="189"/>
      <c r="CSP24" s="189"/>
      <c r="CSQ24" s="189"/>
      <c r="CSR24" s="189"/>
      <c r="CSS24" s="189"/>
      <c r="CST24" s="189"/>
      <c r="CSU24" s="189"/>
      <c r="CSV24" s="189"/>
      <c r="CSW24" s="189"/>
      <c r="CSX24" s="189"/>
      <c r="CSY24" s="189"/>
      <c r="CSZ24" s="189"/>
      <c r="CTA24" s="189"/>
      <c r="CTB24" s="189"/>
      <c r="CTC24" s="189"/>
      <c r="CTD24" s="189"/>
      <c r="CTE24" s="189"/>
      <c r="CTF24" s="189"/>
      <c r="CTG24" s="189"/>
      <c r="CTH24" s="189"/>
      <c r="CTI24" s="189"/>
      <c r="CTJ24" s="189"/>
      <c r="CTK24" s="189"/>
      <c r="CTL24" s="189"/>
      <c r="CTM24" s="189"/>
      <c r="CTN24" s="189"/>
      <c r="CTO24" s="189"/>
      <c r="CTP24" s="189"/>
      <c r="CTQ24" s="189"/>
      <c r="CTR24" s="189"/>
      <c r="CTS24" s="189"/>
      <c r="CTT24" s="189"/>
      <c r="CTU24" s="189"/>
      <c r="CTV24" s="189"/>
      <c r="CTW24" s="189"/>
      <c r="CTX24" s="189"/>
      <c r="CTY24" s="189"/>
      <c r="CTZ24" s="189"/>
      <c r="CUA24" s="189"/>
      <c r="CUB24" s="189"/>
      <c r="CUC24" s="189"/>
      <c r="CUD24" s="189"/>
      <c r="CUE24" s="189"/>
      <c r="CUF24" s="189"/>
      <c r="CUG24" s="189"/>
      <c r="CUH24" s="189"/>
      <c r="CUI24" s="189"/>
      <c r="CUJ24" s="189"/>
      <c r="CUK24" s="189"/>
      <c r="CUL24" s="189"/>
      <c r="CUM24" s="189"/>
      <c r="CUN24" s="189"/>
      <c r="CUO24" s="189"/>
      <c r="CUP24" s="189"/>
      <c r="CUQ24" s="189"/>
      <c r="CUR24" s="189"/>
      <c r="CUS24" s="189"/>
      <c r="CUT24" s="189"/>
      <c r="CUU24" s="189"/>
      <c r="CUV24" s="189"/>
      <c r="CUW24" s="189"/>
      <c r="CUX24" s="189"/>
      <c r="CUY24" s="189"/>
      <c r="CUZ24" s="189"/>
      <c r="CVA24" s="189"/>
      <c r="CVB24" s="189"/>
      <c r="CVC24" s="189"/>
      <c r="CVD24" s="189"/>
      <c r="CVE24" s="189"/>
      <c r="CVF24" s="189"/>
      <c r="CVG24" s="189"/>
      <c r="CVH24" s="189"/>
      <c r="CVI24" s="189"/>
      <c r="CVJ24" s="189"/>
      <c r="CVK24" s="189"/>
      <c r="CVL24" s="189"/>
      <c r="CVM24" s="189"/>
      <c r="CVN24" s="189"/>
      <c r="CVO24" s="189"/>
      <c r="CVP24" s="189"/>
      <c r="CVQ24" s="189"/>
      <c r="CVR24" s="189"/>
      <c r="CVS24" s="189"/>
      <c r="CVT24" s="189"/>
      <c r="CVU24" s="189"/>
      <c r="CVV24" s="189"/>
      <c r="CVW24" s="189"/>
      <c r="CVX24" s="189"/>
      <c r="CVY24" s="189"/>
      <c r="CVZ24" s="189"/>
      <c r="CWA24" s="189"/>
      <c r="CWB24" s="189"/>
      <c r="CWC24" s="189"/>
      <c r="CWD24" s="189"/>
      <c r="CWE24" s="189"/>
      <c r="CWF24" s="189"/>
      <c r="CWG24" s="189"/>
      <c r="CWH24" s="189"/>
      <c r="CWI24" s="189"/>
      <c r="CWJ24" s="189"/>
      <c r="CWK24" s="189"/>
      <c r="CWL24" s="189"/>
      <c r="CWM24" s="189"/>
      <c r="CWN24" s="189"/>
      <c r="CWO24" s="189"/>
      <c r="CWP24" s="189"/>
      <c r="CWQ24" s="189"/>
      <c r="CWR24" s="189"/>
      <c r="CWS24" s="189"/>
      <c r="CWT24" s="189"/>
      <c r="CWU24" s="189"/>
      <c r="CWV24" s="189"/>
      <c r="CWW24" s="189"/>
      <c r="CWX24" s="189"/>
      <c r="CWY24" s="189"/>
      <c r="CWZ24" s="189"/>
      <c r="CXA24" s="189"/>
      <c r="CXB24" s="189"/>
      <c r="CXC24" s="189"/>
      <c r="CXD24" s="189"/>
      <c r="CXE24" s="189"/>
      <c r="CXF24" s="189"/>
      <c r="CXG24" s="189"/>
      <c r="CXH24" s="189"/>
      <c r="CXI24" s="189"/>
      <c r="CXJ24" s="189"/>
      <c r="CXK24" s="189"/>
      <c r="CXL24" s="189"/>
      <c r="CXM24" s="189"/>
      <c r="CXN24" s="189"/>
      <c r="CXO24" s="189"/>
      <c r="CXP24" s="189"/>
      <c r="CXQ24" s="189"/>
      <c r="CXR24" s="189"/>
      <c r="CXS24" s="189"/>
      <c r="CXT24" s="189"/>
      <c r="CXU24" s="189"/>
      <c r="CXV24" s="189"/>
      <c r="CXW24" s="189"/>
      <c r="CXX24" s="189"/>
      <c r="CXY24" s="189"/>
      <c r="CXZ24" s="189"/>
      <c r="CYA24" s="189"/>
      <c r="CYB24" s="189"/>
      <c r="CYC24" s="189"/>
      <c r="CYD24" s="189"/>
      <c r="CYE24" s="189"/>
      <c r="CYF24" s="189"/>
      <c r="CYG24" s="189"/>
      <c r="CYH24" s="189"/>
      <c r="CYI24" s="189"/>
      <c r="CYJ24" s="189"/>
      <c r="CYK24" s="189"/>
      <c r="CYL24" s="189"/>
      <c r="CYM24" s="189"/>
      <c r="CYN24" s="189"/>
      <c r="CYO24" s="189"/>
      <c r="CYP24" s="189"/>
      <c r="CYQ24" s="189"/>
      <c r="CYR24" s="189"/>
      <c r="CYS24" s="189"/>
      <c r="CYT24" s="189"/>
      <c r="CYU24" s="189"/>
      <c r="CYV24" s="189"/>
      <c r="CYW24" s="189"/>
      <c r="CYX24" s="189"/>
      <c r="CYY24" s="189"/>
      <c r="CYZ24" s="189"/>
      <c r="CZA24" s="189"/>
      <c r="CZB24" s="189"/>
      <c r="CZC24" s="189"/>
      <c r="CZD24" s="189"/>
      <c r="CZE24" s="189"/>
      <c r="CZF24" s="189"/>
      <c r="CZG24" s="189"/>
      <c r="CZH24" s="189"/>
      <c r="CZI24" s="189"/>
      <c r="CZJ24" s="189"/>
      <c r="CZK24" s="189"/>
      <c r="CZL24" s="189"/>
      <c r="CZM24" s="189"/>
      <c r="CZN24" s="189"/>
      <c r="CZO24" s="189"/>
      <c r="CZP24" s="189"/>
      <c r="CZQ24" s="189"/>
      <c r="CZR24" s="189"/>
      <c r="CZS24" s="189"/>
      <c r="CZT24" s="189"/>
      <c r="CZU24" s="189"/>
      <c r="CZV24" s="189"/>
      <c r="CZW24" s="189"/>
      <c r="CZX24" s="189"/>
      <c r="CZY24" s="189"/>
      <c r="CZZ24" s="189"/>
      <c r="DAA24" s="189"/>
      <c r="DAB24" s="189"/>
      <c r="DAC24" s="189"/>
      <c r="DAD24" s="189"/>
      <c r="DAE24" s="189"/>
      <c r="DAF24" s="189"/>
      <c r="DAG24" s="189"/>
      <c r="DAH24" s="189"/>
      <c r="DAI24" s="189"/>
      <c r="DAJ24" s="189"/>
      <c r="DAK24" s="189"/>
      <c r="DAL24" s="189"/>
      <c r="DAM24" s="189"/>
      <c r="DAN24" s="189"/>
      <c r="DAO24" s="189"/>
      <c r="DAP24" s="189"/>
      <c r="DAQ24" s="189"/>
      <c r="DAR24" s="189"/>
      <c r="DAS24" s="189"/>
      <c r="DAT24" s="189"/>
      <c r="DAU24" s="189"/>
      <c r="DAV24" s="189"/>
      <c r="DAW24" s="189"/>
      <c r="DAX24" s="189"/>
      <c r="DAY24" s="189"/>
      <c r="DAZ24" s="189"/>
      <c r="DBA24" s="189"/>
      <c r="DBB24" s="189"/>
      <c r="DBC24" s="189"/>
      <c r="DBD24" s="189"/>
      <c r="DBE24" s="189"/>
      <c r="DBF24" s="189"/>
      <c r="DBG24" s="189"/>
      <c r="DBH24" s="189"/>
      <c r="DBI24" s="189"/>
      <c r="DBJ24" s="189"/>
      <c r="DBK24" s="189"/>
      <c r="DBL24" s="189"/>
      <c r="DBM24" s="189"/>
      <c r="DBN24" s="189"/>
      <c r="DBO24" s="189"/>
      <c r="DBP24" s="189"/>
      <c r="DBQ24" s="189"/>
      <c r="DBR24" s="189"/>
      <c r="DBS24" s="189"/>
      <c r="DBT24" s="189"/>
      <c r="DBU24" s="189"/>
      <c r="DBV24" s="189"/>
      <c r="DBW24" s="189"/>
      <c r="DBX24" s="189"/>
      <c r="DBY24" s="189"/>
      <c r="DBZ24" s="189"/>
      <c r="DCA24" s="189"/>
      <c r="DCB24" s="189"/>
      <c r="DCC24" s="189"/>
      <c r="DCD24" s="189"/>
      <c r="DCE24" s="189"/>
      <c r="DCF24" s="189"/>
      <c r="DCG24" s="189"/>
      <c r="DCH24" s="189"/>
      <c r="DCI24" s="189"/>
      <c r="DCJ24" s="189"/>
      <c r="DCK24" s="189"/>
      <c r="DCL24" s="189"/>
      <c r="DCM24" s="189"/>
      <c r="DCN24" s="189"/>
      <c r="DCO24" s="189"/>
      <c r="DCP24" s="189"/>
      <c r="DCQ24" s="189"/>
      <c r="DCR24" s="189"/>
      <c r="DCS24" s="189"/>
      <c r="DCT24" s="189"/>
      <c r="DCU24" s="189"/>
      <c r="DCV24" s="189"/>
      <c r="DCW24" s="189"/>
      <c r="DCX24" s="189"/>
      <c r="DCY24" s="189"/>
      <c r="DCZ24" s="189"/>
      <c r="DDA24" s="189"/>
      <c r="DDB24" s="189"/>
      <c r="DDC24" s="189"/>
      <c r="DDD24" s="189"/>
      <c r="DDE24" s="189"/>
      <c r="DDF24" s="189"/>
      <c r="DDG24" s="189"/>
      <c r="DDH24" s="189"/>
      <c r="DDI24" s="189"/>
      <c r="DDJ24" s="189"/>
      <c r="DDK24" s="189"/>
      <c r="DDL24" s="189"/>
      <c r="DDM24" s="189"/>
      <c r="DDN24" s="189"/>
      <c r="DDO24" s="189"/>
      <c r="DDP24" s="189"/>
      <c r="DDQ24" s="189"/>
      <c r="DDR24" s="189"/>
      <c r="DDS24" s="189"/>
      <c r="DDT24" s="189"/>
      <c r="DDU24" s="189"/>
      <c r="DDV24" s="189"/>
      <c r="DDW24" s="189"/>
      <c r="DDX24" s="189"/>
      <c r="DDY24" s="189"/>
      <c r="DDZ24" s="189"/>
      <c r="DEA24" s="189"/>
      <c r="DEB24" s="189"/>
      <c r="DEC24" s="189"/>
      <c r="DED24" s="189"/>
      <c r="DEE24" s="189"/>
      <c r="DEF24" s="189"/>
      <c r="DEG24" s="189"/>
      <c r="DEH24" s="189"/>
      <c r="DEI24" s="189"/>
      <c r="DEJ24" s="189"/>
      <c r="DEK24" s="189"/>
      <c r="DEL24" s="189"/>
      <c r="DEM24" s="189"/>
      <c r="DEN24" s="189"/>
      <c r="DEO24" s="189"/>
      <c r="DEP24" s="189"/>
      <c r="DEQ24" s="189"/>
      <c r="DER24" s="189"/>
      <c r="DES24" s="189"/>
      <c r="DET24" s="189"/>
      <c r="DEU24" s="189"/>
      <c r="DEV24" s="189"/>
      <c r="DEW24" s="189"/>
      <c r="DEX24" s="189"/>
      <c r="DEY24" s="189"/>
      <c r="DEZ24" s="189"/>
      <c r="DFA24" s="189"/>
      <c r="DFB24" s="189"/>
      <c r="DFC24" s="189"/>
      <c r="DFD24" s="189"/>
      <c r="DFE24" s="189"/>
      <c r="DFF24" s="189"/>
      <c r="DFG24" s="189"/>
      <c r="DFH24" s="189"/>
      <c r="DFI24" s="189"/>
      <c r="DFJ24" s="189"/>
      <c r="DFK24" s="189"/>
      <c r="DFL24" s="189"/>
      <c r="DFM24" s="189"/>
      <c r="DFN24" s="189"/>
      <c r="DFO24" s="189"/>
      <c r="DFP24" s="189"/>
      <c r="DFQ24" s="189"/>
      <c r="DFR24" s="189"/>
      <c r="DFS24" s="189"/>
      <c r="DFT24" s="189"/>
      <c r="DFU24" s="189"/>
      <c r="DFV24" s="189"/>
      <c r="DFW24" s="189"/>
      <c r="DFX24" s="189"/>
      <c r="DFY24" s="189"/>
      <c r="DFZ24" s="189"/>
      <c r="DGA24" s="189"/>
      <c r="DGB24" s="189"/>
      <c r="DGC24" s="189"/>
      <c r="DGD24" s="189"/>
      <c r="DGE24" s="189"/>
      <c r="DGF24" s="189"/>
      <c r="DGG24" s="189"/>
      <c r="DGH24" s="189"/>
      <c r="DGI24" s="189"/>
      <c r="DGJ24" s="189"/>
      <c r="DGK24" s="189"/>
      <c r="DGL24" s="189"/>
      <c r="DGM24" s="189"/>
      <c r="DGN24" s="189"/>
      <c r="DGO24" s="189"/>
      <c r="DGP24" s="189"/>
      <c r="DGQ24" s="189"/>
      <c r="DGR24" s="189"/>
      <c r="DGS24" s="189"/>
      <c r="DGT24" s="189"/>
      <c r="DGU24" s="189"/>
      <c r="DGV24" s="189"/>
      <c r="DGW24" s="189"/>
      <c r="DGX24" s="189"/>
      <c r="DGY24" s="189"/>
      <c r="DGZ24" s="189"/>
      <c r="DHA24" s="189"/>
      <c r="DHB24" s="189"/>
      <c r="DHC24" s="189"/>
      <c r="DHD24" s="189"/>
      <c r="DHE24" s="189"/>
      <c r="DHF24" s="189"/>
      <c r="DHG24" s="189"/>
      <c r="DHH24" s="189"/>
      <c r="DHI24" s="189"/>
      <c r="DHJ24" s="189"/>
      <c r="DHK24" s="189"/>
      <c r="DHL24" s="189"/>
      <c r="DHM24" s="189"/>
      <c r="DHN24" s="189"/>
      <c r="DHO24" s="189"/>
      <c r="DHP24" s="189"/>
      <c r="DHQ24" s="189"/>
      <c r="DHR24" s="189"/>
      <c r="DHS24" s="189"/>
      <c r="DHT24" s="189"/>
      <c r="DHU24" s="189"/>
      <c r="DHV24" s="189"/>
      <c r="DHW24" s="189"/>
      <c r="DHX24" s="189"/>
      <c r="DHY24" s="189"/>
      <c r="DHZ24" s="189"/>
      <c r="DIA24" s="189"/>
      <c r="DIB24" s="189"/>
      <c r="DIC24" s="189"/>
      <c r="DID24" s="189"/>
      <c r="DIE24" s="189"/>
      <c r="DIF24" s="189"/>
      <c r="DIG24" s="189"/>
      <c r="DIH24" s="189"/>
      <c r="DII24" s="189"/>
      <c r="DIJ24" s="189"/>
      <c r="DIK24" s="189"/>
      <c r="DIL24" s="189"/>
      <c r="DIM24" s="189"/>
      <c r="DIN24" s="189"/>
      <c r="DIO24" s="189"/>
      <c r="DIP24" s="189"/>
      <c r="DIQ24" s="189"/>
      <c r="DIR24" s="189"/>
      <c r="DIS24" s="189"/>
      <c r="DIT24" s="189"/>
      <c r="DIU24" s="189"/>
      <c r="DIV24" s="189"/>
      <c r="DIW24" s="189"/>
      <c r="DIX24" s="189"/>
      <c r="DIY24" s="189"/>
      <c r="DIZ24" s="189"/>
      <c r="DJA24" s="189"/>
      <c r="DJB24" s="189"/>
      <c r="DJC24" s="189"/>
      <c r="DJD24" s="189"/>
      <c r="DJE24" s="189"/>
      <c r="DJF24" s="189"/>
      <c r="DJG24" s="189"/>
      <c r="DJH24" s="189"/>
      <c r="DJI24" s="189"/>
      <c r="DJJ24" s="189"/>
      <c r="DJK24" s="189"/>
      <c r="DJL24" s="189"/>
      <c r="DJM24" s="189"/>
      <c r="DJN24" s="189"/>
      <c r="DJO24" s="189"/>
      <c r="DJP24" s="189"/>
      <c r="DJQ24" s="189"/>
      <c r="DJR24" s="189"/>
      <c r="DJS24" s="189"/>
      <c r="DJT24" s="189"/>
      <c r="DJU24" s="189"/>
      <c r="DJV24" s="189"/>
      <c r="DJW24" s="189"/>
      <c r="DJX24" s="189"/>
      <c r="DJY24" s="189"/>
      <c r="DJZ24" s="189"/>
      <c r="DKA24" s="189"/>
      <c r="DKB24" s="189"/>
      <c r="DKC24" s="189"/>
      <c r="DKD24" s="189"/>
      <c r="DKE24" s="189"/>
      <c r="DKF24" s="189"/>
      <c r="DKG24" s="189"/>
      <c r="DKH24" s="189"/>
      <c r="DKI24" s="189"/>
      <c r="DKJ24" s="189"/>
      <c r="DKK24" s="189"/>
      <c r="DKL24" s="189"/>
      <c r="DKM24" s="189"/>
      <c r="DKN24" s="189"/>
      <c r="DKO24" s="189"/>
      <c r="DKP24" s="189"/>
      <c r="DKQ24" s="189"/>
      <c r="DKR24" s="189"/>
      <c r="DKS24" s="189"/>
      <c r="DKT24" s="189"/>
      <c r="DKU24" s="189"/>
      <c r="DKV24" s="189"/>
      <c r="DKW24" s="189"/>
      <c r="DKX24" s="189"/>
      <c r="DKY24" s="189"/>
      <c r="DKZ24" s="189"/>
      <c r="DLA24" s="189"/>
      <c r="DLB24" s="189"/>
      <c r="DLC24" s="189"/>
      <c r="DLD24" s="189"/>
      <c r="DLE24" s="189"/>
      <c r="DLF24" s="189"/>
      <c r="DLG24" s="189"/>
      <c r="DLH24" s="189"/>
      <c r="DLI24" s="189"/>
      <c r="DLJ24" s="189"/>
      <c r="DLK24" s="189"/>
      <c r="DLL24" s="189"/>
      <c r="DLM24" s="189"/>
      <c r="DLN24" s="189"/>
      <c r="DLO24" s="189"/>
      <c r="DLP24" s="189"/>
      <c r="DLQ24" s="189"/>
      <c r="DLR24" s="189"/>
      <c r="DLS24" s="189"/>
      <c r="DLT24" s="189"/>
      <c r="DLU24" s="189"/>
      <c r="DLV24" s="189"/>
      <c r="DLW24" s="189"/>
      <c r="DLX24" s="189"/>
      <c r="DLY24" s="189"/>
      <c r="DLZ24" s="189"/>
      <c r="DMA24" s="189"/>
      <c r="DMB24" s="189"/>
      <c r="DMC24" s="189"/>
      <c r="DMD24" s="189"/>
      <c r="DME24" s="189"/>
      <c r="DMF24" s="189"/>
      <c r="DMG24" s="189"/>
      <c r="DMH24" s="189"/>
      <c r="DMI24" s="189"/>
      <c r="DMJ24" s="189"/>
      <c r="DMK24" s="189"/>
      <c r="DML24" s="189"/>
      <c r="DMM24" s="189"/>
      <c r="DMN24" s="189"/>
      <c r="DMO24" s="189"/>
      <c r="DMP24" s="189"/>
      <c r="DMQ24" s="189"/>
      <c r="DMR24" s="189"/>
      <c r="DMS24" s="189"/>
      <c r="DMT24" s="189"/>
      <c r="DMU24" s="189"/>
      <c r="DMV24" s="189"/>
      <c r="DMW24" s="189"/>
      <c r="DMX24" s="189"/>
      <c r="DMY24" s="189"/>
      <c r="DMZ24" s="189"/>
      <c r="DNA24" s="189"/>
      <c r="DNB24" s="189"/>
      <c r="DNC24" s="189"/>
      <c r="DND24" s="189"/>
      <c r="DNE24" s="189"/>
      <c r="DNF24" s="189"/>
      <c r="DNG24" s="189"/>
      <c r="DNH24" s="189"/>
      <c r="DNI24" s="189"/>
      <c r="DNJ24" s="189"/>
      <c r="DNK24" s="189"/>
      <c r="DNL24" s="189"/>
      <c r="DNM24" s="189"/>
      <c r="DNN24" s="189"/>
      <c r="DNO24" s="189"/>
      <c r="DNP24" s="189"/>
      <c r="DNQ24" s="189"/>
      <c r="DNR24" s="189"/>
      <c r="DNS24" s="189"/>
      <c r="DNT24" s="189"/>
      <c r="DNU24" s="189"/>
      <c r="DNV24" s="189"/>
      <c r="DNW24" s="189"/>
      <c r="DNX24" s="189"/>
      <c r="DNY24" s="189"/>
      <c r="DNZ24" s="189"/>
      <c r="DOA24" s="189"/>
      <c r="DOB24" s="189"/>
      <c r="DOC24" s="189"/>
      <c r="DOD24" s="189"/>
      <c r="DOE24" s="189"/>
      <c r="DOF24" s="189"/>
      <c r="DOG24" s="189"/>
      <c r="DOH24" s="189"/>
      <c r="DOI24" s="189"/>
      <c r="DOJ24" s="189"/>
      <c r="DOK24" s="189"/>
      <c r="DOL24" s="189"/>
      <c r="DOM24" s="189"/>
      <c r="DON24" s="189"/>
      <c r="DOO24" s="189"/>
      <c r="DOP24" s="189"/>
      <c r="DOQ24" s="189"/>
      <c r="DOR24" s="189"/>
      <c r="DOS24" s="189"/>
      <c r="DOT24" s="189"/>
      <c r="DOU24" s="189"/>
      <c r="DOV24" s="189"/>
      <c r="DOW24" s="189"/>
      <c r="DOX24" s="189"/>
      <c r="DOY24" s="189"/>
      <c r="DOZ24" s="189"/>
      <c r="DPA24" s="189"/>
      <c r="DPB24" s="189"/>
      <c r="DPC24" s="189"/>
      <c r="DPD24" s="189"/>
      <c r="DPE24" s="189"/>
      <c r="DPF24" s="189"/>
      <c r="DPG24" s="189"/>
      <c r="DPH24" s="189"/>
      <c r="DPI24" s="189"/>
      <c r="DPJ24" s="189"/>
      <c r="DPK24" s="189"/>
      <c r="DPL24" s="189"/>
      <c r="DPM24" s="189"/>
      <c r="DPN24" s="189"/>
      <c r="DPO24" s="189"/>
      <c r="DPP24" s="189"/>
      <c r="DPQ24" s="189"/>
      <c r="DPR24" s="189"/>
      <c r="DPS24" s="189"/>
      <c r="DPT24" s="189"/>
      <c r="DPU24" s="189"/>
      <c r="DPV24" s="189"/>
      <c r="DPW24" s="189"/>
      <c r="DPX24" s="189"/>
      <c r="DPY24" s="189"/>
      <c r="DPZ24" s="189"/>
      <c r="DQA24" s="189"/>
      <c r="DQB24" s="189"/>
      <c r="DQC24" s="189"/>
      <c r="DQD24" s="189"/>
      <c r="DQE24" s="189"/>
      <c r="DQF24" s="189"/>
      <c r="DQG24" s="189"/>
      <c r="DQH24" s="189"/>
      <c r="DQI24" s="189"/>
      <c r="DQJ24" s="189"/>
      <c r="DQK24" s="189"/>
      <c r="DQL24" s="189"/>
      <c r="DQM24" s="189"/>
      <c r="DQN24" s="189"/>
      <c r="DQO24" s="189"/>
      <c r="DQP24" s="189"/>
      <c r="DQQ24" s="189"/>
      <c r="DQR24" s="189"/>
      <c r="DQS24" s="189"/>
      <c r="DQT24" s="189"/>
      <c r="DQU24" s="189"/>
      <c r="DQV24" s="189"/>
      <c r="DQW24" s="189"/>
      <c r="DQX24" s="189"/>
      <c r="DQY24" s="189"/>
      <c r="DQZ24" s="189"/>
      <c r="DRA24" s="189"/>
      <c r="DRB24" s="189"/>
      <c r="DRC24" s="189"/>
      <c r="DRD24" s="189"/>
      <c r="DRE24" s="189"/>
      <c r="DRF24" s="189"/>
      <c r="DRG24" s="189"/>
      <c r="DRH24" s="189"/>
      <c r="DRI24" s="189"/>
      <c r="DRJ24" s="189"/>
      <c r="DRK24" s="189"/>
      <c r="DRL24" s="189"/>
      <c r="DRM24" s="189"/>
      <c r="DRN24" s="189"/>
      <c r="DRO24" s="189"/>
      <c r="DRP24" s="189"/>
      <c r="DRQ24" s="189"/>
      <c r="DRR24" s="189"/>
      <c r="DRS24" s="189"/>
      <c r="DRT24" s="189"/>
      <c r="DRU24" s="189"/>
      <c r="DRV24" s="189"/>
      <c r="DRW24" s="189"/>
      <c r="DRX24" s="189"/>
      <c r="DRY24" s="189"/>
      <c r="DRZ24" s="189"/>
      <c r="DSA24" s="189"/>
      <c r="DSB24" s="189"/>
      <c r="DSC24" s="189"/>
      <c r="DSD24" s="189"/>
      <c r="DSE24" s="189"/>
      <c r="DSF24" s="189"/>
      <c r="DSG24" s="189"/>
      <c r="DSH24" s="189"/>
      <c r="DSI24" s="189"/>
      <c r="DSJ24" s="189"/>
      <c r="DSK24" s="189"/>
      <c r="DSL24" s="189"/>
      <c r="DSM24" s="189"/>
      <c r="DSN24" s="189"/>
      <c r="DSO24" s="189"/>
      <c r="DSP24" s="189"/>
      <c r="DSQ24" s="189"/>
      <c r="DSR24" s="189"/>
      <c r="DSS24" s="189"/>
      <c r="DST24" s="189"/>
      <c r="DSU24" s="189"/>
      <c r="DSV24" s="189"/>
      <c r="DSW24" s="189"/>
      <c r="DSX24" s="189"/>
      <c r="DSY24" s="189"/>
      <c r="DSZ24" s="189"/>
      <c r="DTA24" s="189"/>
      <c r="DTB24" s="189"/>
      <c r="DTC24" s="189"/>
      <c r="DTD24" s="189"/>
      <c r="DTE24" s="189"/>
      <c r="DTF24" s="189"/>
      <c r="DTG24" s="189"/>
      <c r="DTH24" s="189"/>
      <c r="DTI24" s="189"/>
      <c r="DTJ24" s="189"/>
      <c r="DTK24" s="189"/>
      <c r="DTL24" s="189"/>
      <c r="DTM24" s="189"/>
      <c r="DTN24" s="189"/>
      <c r="DTO24" s="189"/>
      <c r="DTP24" s="189"/>
      <c r="DTQ24" s="189"/>
      <c r="DTR24" s="189"/>
      <c r="DTS24" s="189"/>
      <c r="DTT24" s="189"/>
      <c r="DTU24" s="189"/>
      <c r="DTV24" s="189"/>
      <c r="DTW24" s="189"/>
      <c r="DTX24" s="189"/>
      <c r="DTY24" s="189"/>
      <c r="DTZ24" s="189"/>
      <c r="DUA24" s="189"/>
      <c r="DUB24" s="189"/>
      <c r="DUC24" s="189"/>
      <c r="DUD24" s="189"/>
      <c r="DUE24" s="189"/>
      <c r="DUF24" s="189"/>
      <c r="DUG24" s="189"/>
      <c r="DUH24" s="189"/>
      <c r="DUI24" s="189"/>
      <c r="DUJ24" s="189"/>
      <c r="DUK24" s="189"/>
      <c r="DUL24" s="189"/>
      <c r="DUM24" s="189"/>
      <c r="DUN24" s="189"/>
      <c r="DUO24" s="189"/>
      <c r="DUP24" s="189"/>
      <c r="DUQ24" s="189"/>
      <c r="DUR24" s="189"/>
      <c r="DUS24" s="189"/>
      <c r="DUT24" s="189"/>
      <c r="DUU24" s="189"/>
      <c r="DUV24" s="189"/>
      <c r="DUW24" s="189"/>
      <c r="DUX24" s="189"/>
      <c r="DUY24" s="189"/>
      <c r="DUZ24" s="189"/>
      <c r="DVA24" s="189"/>
      <c r="DVB24" s="189"/>
      <c r="DVC24" s="189"/>
      <c r="DVD24" s="189"/>
      <c r="DVE24" s="189"/>
      <c r="DVF24" s="189"/>
      <c r="DVG24" s="189"/>
      <c r="DVH24" s="189"/>
      <c r="DVI24" s="189"/>
      <c r="DVJ24" s="189"/>
      <c r="DVK24" s="189"/>
      <c r="DVL24" s="189"/>
      <c r="DVM24" s="189"/>
      <c r="DVN24" s="189"/>
      <c r="DVO24" s="189"/>
      <c r="DVP24" s="189"/>
      <c r="DVQ24" s="189"/>
      <c r="DVR24" s="189"/>
      <c r="DVS24" s="189"/>
      <c r="DVT24" s="189"/>
      <c r="DVU24" s="189"/>
      <c r="DVV24" s="189"/>
      <c r="DVW24" s="189"/>
      <c r="DVX24" s="189"/>
      <c r="DVY24" s="189"/>
      <c r="DVZ24" s="189"/>
      <c r="DWA24" s="189"/>
      <c r="DWB24" s="189"/>
      <c r="DWC24" s="189"/>
      <c r="DWD24" s="189"/>
      <c r="DWE24" s="189"/>
      <c r="DWF24" s="189"/>
      <c r="DWG24" s="189"/>
      <c r="DWH24" s="189"/>
      <c r="DWI24" s="189"/>
      <c r="DWJ24" s="189"/>
      <c r="DWK24" s="189"/>
      <c r="DWL24" s="189"/>
      <c r="DWM24" s="189"/>
      <c r="DWN24" s="189"/>
      <c r="DWO24" s="189"/>
      <c r="DWP24" s="189"/>
      <c r="DWQ24" s="189"/>
      <c r="DWR24" s="189"/>
      <c r="DWS24" s="189"/>
      <c r="DWT24" s="189"/>
      <c r="DWU24" s="189"/>
      <c r="DWV24" s="189"/>
      <c r="DWW24" s="189"/>
      <c r="DWX24" s="189"/>
      <c r="DWY24" s="189"/>
      <c r="DWZ24" s="189"/>
      <c r="DXA24" s="189"/>
      <c r="DXB24" s="189"/>
      <c r="DXC24" s="189"/>
      <c r="DXD24" s="189"/>
      <c r="DXE24" s="189"/>
      <c r="DXF24" s="189"/>
      <c r="DXG24" s="189"/>
      <c r="DXH24" s="189"/>
      <c r="DXI24" s="189"/>
      <c r="DXJ24" s="189"/>
      <c r="DXK24" s="189"/>
      <c r="DXL24" s="189"/>
      <c r="DXM24" s="189"/>
      <c r="DXN24" s="189"/>
      <c r="DXO24" s="189"/>
      <c r="DXP24" s="189"/>
      <c r="DXQ24" s="189"/>
      <c r="DXR24" s="189"/>
      <c r="DXS24" s="189"/>
      <c r="DXT24" s="189"/>
      <c r="DXU24" s="189"/>
      <c r="DXV24" s="189"/>
      <c r="DXW24" s="189"/>
      <c r="DXX24" s="189"/>
      <c r="DXY24" s="189"/>
      <c r="DXZ24" s="189"/>
      <c r="DYA24" s="189"/>
      <c r="DYB24" s="189"/>
      <c r="DYC24" s="189"/>
      <c r="DYD24" s="189"/>
      <c r="DYE24" s="189"/>
      <c r="DYF24" s="189"/>
      <c r="DYG24" s="189"/>
      <c r="DYH24" s="189"/>
      <c r="DYI24" s="189"/>
      <c r="DYJ24" s="189"/>
      <c r="DYK24" s="189"/>
      <c r="DYL24" s="189"/>
      <c r="DYM24" s="189"/>
      <c r="DYN24" s="189"/>
      <c r="DYO24" s="189"/>
      <c r="DYP24" s="189"/>
      <c r="DYQ24" s="189"/>
      <c r="DYR24" s="189"/>
      <c r="DYS24" s="189"/>
      <c r="DYT24" s="189"/>
      <c r="DYU24" s="189"/>
      <c r="DYV24" s="189"/>
      <c r="DYW24" s="189"/>
      <c r="DYX24" s="189"/>
      <c r="DYY24" s="189"/>
      <c r="DYZ24" s="189"/>
      <c r="DZA24" s="189"/>
      <c r="DZB24" s="189"/>
      <c r="DZC24" s="189"/>
      <c r="DZD24" s="189"/>
      <c r="DZE24" s="189"/>
      <c r="DZF24" s="189"/>
      <c r="DZG24" s="189"/>
      <c r="DZH24" s="189"/>
      <c r="DZI24" s="189"/>
      <c r="DZJ24" s="189"/>
      <c r="DZK24" s="189"/>
      <c r="DZL24" s="189"/>
      <c r="DZM24" s="189"/>
      <c r="DZN24" s="189"/>
      <c r="DZO24" s="189"/>
      <c r="DZP24" s="189"/>
      <c r="DZQ24" s="189"/>
      <c r="DZR24" s="189"/>
      <c r="DZS24" s="189"/>
      <c r="DZT24" s="189"/>
      <c r="DZU24" s="189"/>
      <c r="DZV24" s="189"/>
      <c r="DZW24" s="189"/>
      <c r="DZX24" s="189"/>
      <c r="DZY24" s="189"/>
      <c r="DZZ24" s="189"/>
      <c r="EAA24" s="189"/>
      <c r="EAB24" s="189"/>
      <c r="EAC24" s="189"/>
      <c r="EAD24" s="189"/>
      <c r="EAE24" s="189"/>
      <c r="EAF24" s="189"/>
      <c r="EAG24" s="189"/>
      <c r="EAH24" s="189"/>
      <c r="EAI24" s="189"/>
      <c r="EAJ24" s="189"/>
      <c r="EAK24" s="189"/>
      <c r="EAL24" s="189"/>
      <c r="EAM24" s="189"/>
      <c r="EAN24" s="189"/>
      <c r="EAO24" s="189"/>
      <c r="EAP24" s="189"/>
      <c r="EAQ24" s="189"/>
      <c r="EAR24" s="189"/>
      <c r="EAS24" s="189"/>
      <c r="EAT24" s="189"/>
      <c r="EAU24" s="189"/>
      <c r="EAV24" s="189"/>
      <c r="EAW24" s="189"/>
      <c r="EAX24" s="189"/>
      <c r="EAY24" s="189"/>
      <c r="EAZ24" s="189"/>
      <c r="EBA24" s="189"/>
      <c r="EBB24" s="189"/>
      <c r="EBC24" s="189"/>
      <c r="EBD24" s="189"/>
      <c r="EBE24" s="189"/>
      <c r="EBF24" s="189"/>
      <c r="EBG24" s="189"/>
      <c r="EBH24" s="189"/>
      <c r="EBI24" s="189"/>
      <c r="EBJ24" s="189"/>
      <c r="EBK24" s="189"/>
      <c r="EBL24" s="189"/>
      <c r="EBM24" s="189"/>
      <c r="EBN24" s="189"/>
      <c r="EBO24" s="189"/>
      <c r="EBP24" s="189"/>
      <c r="EBQ24" s="189"/>
      <c r="EBR24" s="189"/>
      <c r="EBS24" s="189"/>
      <c r="EBT24" s="189"/>
      <c r="EBU24" s="189"/>
      <c r="EBV24" s="189"/>
      <c r="EBW24" s="189"/>
      <c r="EBX24" s="189"/>
      <c r="EBY24" s="189"/>
      <c r="EBZ24" s="189"/>
      <c r="ECA24" s="189"/>
      <c r="ECB24" s="189"/>
      <c r="ECC24" s="189"/>
      <c r="ECD24" s="189"/>
      <c r="ECE24" s="189"/>
      <c r="ECF24" s="189"/>
      <c r="ECG24" s="189"/>
      <c r="ECH24" s="189"/>
      <c r="ECI24" s="189"/>
      <c r="ECJ24" s="189"/>
      <c r="ECK24" s="189"/>
      <c r="ECL24" s="189"/>
      <c r="ECM24" s="189"/>
      <c r="ECN24" s="189"/>
      <c r="ECO24" s="189"/>
      <c r="ECP24" s="189"/>
      <c r="ECQ24" s="189"/>
      <c r="ECR24" s="189"/>
      <c r="ECS24" s="189"/>
      <c r="ECT24" s="189"/>
      <c r="ECU24" s="189"/>
      <c r="ECV24" s="189"/>
      <c r="ECW24" s="189"/>
      <c r="ECX24" s="189"/>
      <c r="ECY24" s="189"/>
      <c r="ECZ24" s="189"/>
      <c r="EDA24" s="189"/>
      <c r="EDB24" s="189"/>
      <c r="EDC24" s="189"/>
      <c r="EDD24" s="189"/>
      <c r="EDE24" s="189"/>
      <c r="EDF24" s="189"/>
      <c r="EDG24" s="189"/>
      <c r="EDH24" s="189"/>
      <c r="EDI24" s="189"/>
      <c r="EDJ24" s="189"/>
      <c r="EDK24" s="189"/>
      <c r="EDL24" s="189"/>
      <c r="EDM24" s="189"/>
      <c r="EDN24" s="189"/>
      <c r="EDO24" s="189"/>
      <c r="EDP24" s="189"/>
      <c r="EDQ24" s="189"/>
      <c r="EDR24" s="189"/>
      <c r="EDS24" s="189"/>
      <c r="EDT24" s="189"/>
      <c r="EDU24" s="189"/>
      <c r="EDV24" s="189"/>
      <c r="EDW24" s="189"/>
      <c r="EDX24" s="189"/>
      <c r="EDY24" s="189"/>
      <c r="EDZ24" s="189"/>
      <c r="EEA24" s="189"/>
      <c r="EEB24" s="189"/>
      <c r="EEC24" s="189"/>
      <c r="EED24" s="189"/>
      <c r="EEE24" s="189"/>
      <c r="EEF24" s="189"/>
      <c r="EEG24" s="189"/>
      <c r="EEH24" s="189"/>
      <c r="EEI24" s="189"/>
      <c r="EEJ24" s="189"/>
      <c r="EEK24" s="189"/>
      <c r="EEL24" s="189"/>
      <c r="EEM24" s="189"/>
      <c r="EEN24" s="189"/>
      <c r="EEO24" s="189"/>
      <c r="EEP24" s="189"/>
      <c r="EEQ24" s="189"/>
      <c r="EER24" s="189"/>
      <c r="EES24" s="189"/>
      <c r="EET24" s="189"/>
      <c r="EEU24" s="189"/>
      <c r="EEV24" s="189"/>
      <c r="EEW24" s="189"/>
      <c r="EEX24" s="189"/>
      <c r="EEY24" s="189"/>
      <c r="EEZ24" s="189"/>
      <c r="EFA24" s="189"/>
      <c r="EFB24" s="189"/>
      <c r="EFC24" s="189"/>
      <c r="EFD24" s="189"/>
      <c r="EFE24" s="189"/>
      <c r="EFF24" s="189"/>
      <c r="EFG24" s="189"/>
      <c r="EFH24" s="189"/>
      <c r="EFI24" s="189"/>
      <c r="EFJ24" s="189"/>
      <c r="EFK24" s="189"/>
      <c r="EFL24" s="189"/>
      <c r="EFM24" s="189"/>
      <c r="EFN24" s="189"/>
      <c r="EFO24" s="189"/>
      <c r="EFP24" s="189"/>
      <c r="EFQ24" s="189"/>
      <c r="EFR24" s="189"/>
      <c r="EFS24" s="189"/>
      <c r="EFT24" s="189"/>
      <c r="EFU24" s="189"/>
      <c r="EFV24" s="189"/>
      <c r="EFW24" s="189"/>
      <c r="EFX24" s="189"/>
      <c r="EFY24" s="189"/>
      <c r="EFZ24" s="189"/>
      <c r="EGA24" s="189"/>
      <c r="EGB24" s="189"/>
      <c r="EGC24" s="189"/>
      <c r="EGD24" s="189"/>
      <c r="EGE24" s="189"/>
      <c r="EGF24" s="189"/>
      <c r="EGG24" s="189"/>
      <c r="EGH24" s="189"/>
      <c r="EGI24" s="189"/>
      <c r="EGJ24" s="189"/>
      <c r="EGK24" s="189"/>
      <c r="EGL24" s="189"/>
      <c r="EGM24" s="189"/>
      <c r="EGN24" s="189"/>
      <c r="EGO24" s="189"/>
      <c r="EGP24" s="189"/>
      <c r="EGQ24" s="189"/>
      <c r="EGR24" s="189"/>
      <c r="EGS24" s="189"/>
      <c r="EGT24" s="189"/>
      <c r="EGU24" s="189"/>
      <c r="EGV24" s="189"/>
      <c r="EGW24" s="189"/>
      <c r="EGX24" s="189"/>
      <c r="EGY24" s="189"/>
      <c r="EGZ24" s="189"/>
      <c r="EHA24" s="189"/>
      <c r="EHB24" s="189"/>
      <c r="EHC24" s="189"/>
      <c r="EHD24" s="189"/>
      <c r="EHE24" s="189"/>
      <c r="EHF24" s="189"/>
      <c r="EHG24" s="189"/>
      <c r="EHH24" s="189"/>
      <c r="EHI24" s="189"/>
      <c r="EHJ24" s="189"/>
      <c r="EHK24" s="189"/>
      <c r="EHL24" s="189"/>
      <c r="EHM24" s="189"/>
      <c r="EHN24" s="189"/>
      <c r="EHO24" s="189"/>
      <c r="EHP24" s="189"/>
      <c r="EHQ24" s="189"/>
      <c r="EHR24" s="189"/>
      <c r="EHS24" s="189"/>
      <c r="EHT24" s="189"/>
      <c r="EHU24" s="189"/>
      <c r="EHV24" s="189"/>
      <c r="EHW24" s="189"/>
      <c r="EHX24" s="189"/>
      <c r="EHY24" s="189"/>
      <c r="EHZ24" s="189"/>
      <c r="EIA24" s="189"/>
      <c r="EIB24" s="189"/>
      <c r="EIC24" s="189"/>
      <c r="EID24" s="189"/>
      <c r="EIE24" s="189"/>
      <c r="EIF24" s="189"/>
      <c r="EIG24" s="189"/>
      <c r="EIH24" s="189"/>
      <c r="EII24" s="189"/>
      <c r="EIJ24" s="189"/>
      <c r="EIK24" s="189"/>
      <c r="EIL24" s="189"/>
      <c r="EIM24" s="189"/>
      <c r="EIN24" s="189"/>
      <c r="EIO24" s="189"/>
      <c r="EIP24" s="189"/>
      <c r="EIQ24" s="189"/>
      <c r="EIR24" s="189"/>
      <c r="EIS24" s="189"/>
      <c r="EIT24" s="189"/>
      <c r="EIU24" s="189"/>
      <c r="EIV24" s="189"/>
      <c r="EIW24" s="189"/>
      <c r="EIX24" s="189"/>
      <c r="EIY24" s="189"/>
      <c r="EIZ24" s="189"/>
      <c r="EJA24" s="189"/>
      <c r="EJB24" s="189"/>
      <c r="EJC24" s="189"/>
      <c r="EJD24" s="189"/>
      <c r="EJE24" s="189"/>
      <c r="EJF24" s="189"/>
      <c r="EJG24" s="189"/>
      <c r="EJH24" s="189"/>
      <c r="EJI24" s="189"/>
      <c r="EJJ24" s="189"/>
      <c r="EJK24" s="189"/>
      <c r="EJL24" s="189"/>
      <c r="EJM24" s="189"/>
      <c r="EJN24" s="189"/>
      <c r="EJO24" s="189"/>
      <c r="EJP24" s="189"/>
      <c r="EJQ24" s="189"/>
      <c r="EJR24" s="189"/>
      <c r="EJS24" s="189"/>
      <c r="EJT24" s="189"/>
      <c r="EJU24" s="189"/>
      <c r="EJV24" s="189"/>
      <c r="EJW24" s="189"/>
      <c r="EJX24" s="189"/>
      <c r="EJY24" s="189"/>
      <c r="EJZ24" s="189"/>
      <c r="EKA24" s="189"/>
      <c r="EKB24" s="189"/>
      <c r="EKC24" s="189"/>
      <c r="EKD24" s="189"/>
      <c r="EKE24" s="189"/>
      <c r="EKF24" s="189"/>
      <c r="EKG24" s="189"/>
      <c r="EKH24" s="189"/>
      <c r="EKI24" s="189"/>
      <c r="EKJ24" s="189"/>
      <c r="EKK24" s="189"/>
      <c r="EKL24" s="189"/>
      <c r="EKM24" s="189"/>
      <c r="EKN24" s="189"/>
      <c r="EKO24" s="189"/>
      <c r="EKP24" s="189"/>
      <c r="EKQ24" s="189"/>
      <c r="EKR24" s="189"/>
      <c r="EKS24" s="189"/>
      <c r="EKT24" s="189"/>
      <c r="EKU24" s="189"/>
      <c r="EKV24" s="189"/>
      <c r="EKW24" s="189"/>
      <c r="EKX24" s="189"/>
      <c r="EKY24" s="189"/>
      <c r="EKZ24" s="189"/>
      <c r="ELA24" s="189"/>
      <c r="ELB24" s="189"/>
      <c r="ELC24" s="189"/>
      <c r="ELD24" s="189"/>
      <c r="ELE24" s="189"/>
      <c r="ELF24" s="189"/>
      <c r="ELG24" s="189"/>
      <c r="ELH24" s="189"/>
      <c r="ELI24" s="189"/>
      <c r="ELJ24" s="189"/>
      <c r="ELK24" s="189"/>
      <c r="ELL24" s="189"/>
      <c r="ELM24" s="189"/>
      <c r="ELN24" s="189"/>
      <c r="ELO24" s="189"/>
      <c r="ELP24" s="189"/>
      <c r="ELQ24" s="189"/>
      <c r="ELR24" s="189"/>
      <c r="ELS24" s="189"/>
      <c r="ELT24" s="189"/>
      <c r="ELU24" s="189"/>
      <c r="ELV24" s="189"/>
      <c r="ELW24" s="189"/>
      <c r="ELX24" s="189"/>
      <c r="ELY24" s="189"/>
      <c r="ELZ24" s="189"/>
      <c r="EMA24" s="189"/>
      <c r="EMB24" s="189"/>
      <c r="EMC24" s="189"/>
      <c r="EMD24" s="189"/>
      <c r="EME24" s="189"/>
      <c r="EMF24" s="189"/>
      <c r="EMG24" s="189"/>
      <c r="EMH24" s="189"/>
      <c r="EMI24" s="189"/>
      <c r="EMJ24" s="189"/>
      <c r="EMK24" s="189"/>
      <c r="EML24" s="189"/>
      <c r="EMM24" s="189"/>
      <c r="EMN24" s="189"/>
      <c r="EMO24" s="189"/>
      <c r="EMP24" s="189"/>
      <c r="EMQ24" s="189"/>
      <c r="EMR24" s="189"/>
      <c r="EMS24" s="189"/>
      <c r="EMT24" s="189"/>
      <c r="EMU24" s="189"/>
      <c r="EMV24" s="189"/>
      <c r="EMW24" s="189"/>
      <c r="EMX24" s="189"/>
      <c r="EMY24" s="189"/>
      <c r="EMZ24" s="189"/>
      <c r="ENA24" s="189"/>
      <c r="ENB24" s="189"/>
      <c r="ENC24" s="189"/>
      <c r="END24" s="189"/>
      <c r="ENE24" s="189"/>
      <c r="ENF24" s="189"/>
      <c r="ENG24" s="189"/>
      <c r="ENH24" s="189"/>
      <c r="ENI24" s="189"/>
      <c r="ENJ24" s="189"/>
      <c r="ENK24" s="189"/>
      <c r="ENL24" s="189"/>
      <c r="ENM24" s="189"/>
      <c r="ENN24" s="189"/>
      <c r="ENO24" s="189"/>
      <c r="ENP24" s="189"/>
      <c r="ENQ24" s="189"/>
      <c r="ENR24" s="189"/>
      <c r="ENS24" s="189"/>
      <c r="ENT24" s="189"/>
      <c r="ENU24" s="189"/>
      <c r="ENV24" s="189"/>
      <c r="ENW24" s="189"/>
      <c r="ENX24" s="189"/>
      <c r="ENY24" s="189"/>
      <c r="ENZ24" s="189"/>
      <c r="EOA24" s="189"/>
      <c r="EOB24" s="189"/>
      <c r="EOC24" s="189"/>
      <c r="EOD24" s="189"/>
      <c r="EOE24" s="189"/>
      <c r="EOF24" s="189"/>
      <c r="EOG24" s="189"/>
      <c r="EOH24" s="189"/>
      <c r="EOI24" s="189"/>
      <c r="EOJ24" s="189"/>
      <c r="EOK24" s="189"/>
      <c r="EOL24" s="189"/>
      <c r="EOM24" s="189"/>
      <c r="EON24" s="189"/>
      <c r="EOO24" s="189"/>
      <c r="EOP24" s="189"/>
      <c r="EOQ24" s="189"/>
      <c r="EOR24" s="189"/>
      <c r="EOS24" s="189"/>
      <c r="EOT24" s="189"/>
      <c r="EOU24" s="189"/>
      <c r="EOV24" s="189"/>
      <c r="EOW24" s="189"/>
      <c r="EOX24" s="189"/>
      <c r="EOY24" s="189"/>
      <c r="EOZ24" s="189"/>
      <c r="EPA24" s="189"/>
      <c r="EPB24" s="189"/>
      <c r="EPC24" s="189"/>
      <c r="EPD24" s="189"/>
      <c r="EPE24" s="189"/>
      <c r="EPF24" s="189"/>
      <c r="EPG24" s="189"/>
      <c r="EPH24" s="189"/>
      <c r="EPI24" s="189"/>
      <c r="EPJ24" s="189"/>
      <c r="EPK24" s="189"/>
      <c r="EPL24" s="189"/>
      <c r="EPM24" s="189"/>
      <c r="EPN24" s="189"/>
      <c r="EPO24" s="189"/>
      <c r="EPP24" s="189"/>
      <c r="EPQ24" s="189"/>
      <c r="EPR24" s="189"/>
      <c r="EPS24" s="189"/>
      <c r="EPT24" s="189"/>
      <c r="EPU24" s="189"/>
      <c r="EPV24" s="189"/>
      <c r="EPW24" s="189"/>
      <c r="EPX24" s="189"/>
      <c r="EPY24" s="189"/>
      <c r="EPZ24" s="189"/>
      <c r="EQA24" s="189"/>
      <c r="EQB24" s="189"/>
      <c r="EQC24" s="189"/>
      <c r="EQD24" s="189"/>
      <c r="EQE24" s="189"/>
      <c r="EQF24" s="189"/>
      <c r="EQG24" s="189"/>
      <c r="EQH24" s="189"/>
      <c r="EQI24" s="189"/>
      <c r="EQJ24" s="189"/>
      <c r="EQK24" s="189"/>
      <c r="EQL24" s="189"/>
      <c r="EQM24" s="189"/>
      <c r="EQN24" s="189"/>
      <c r="EQO24" s="189"/>
      <c r="EQP24" s="189"/>
      <c r="EQQ24" s="189"/>
      <c r="EQR24" s="189"/>
      <c r="EQS24" s="189"/>
      <c r="EQT24" s="189"/>
      <c r="EQU24" s="189"/>
      <c r="EQV24" s="189"/>
      <c r="EQW24" s="189"/>
      <c r="EQX24" s="189"/>
      <c r="EQY24" s="189"/>
      <c r="EQZ24" s="189"/>
      <c r="ERA24" s="189"/>
      <c r="ERB24" s="189"/>
      <c r="ERC24" s="189"/>
      <c r="ERD24" s="189"/>
      <c r="ERE24" s="189"/>
      <c r="ERF24" s="189"/>
      <c r="ERG24" s="189"/>
      <c r="ERH24" s="189"/>
      <c r="ERI24" s="189"/>
      <c r="ERJ24" s="189"/>
      <c r="ERK24" s="189"/>
      <c r="ERL24" s="189"/>
      <c r="ERM24" s="189"/>
      <c r="ERN24" s="189"/>
      <c r="ERO24" s="189"/>
      <c r="ERP24" s="189"/>
      <c r="ERQ24" s="189"/>
      <c r="ERR24" s="189"/>
      <c r="ERS24" s="189"/>
      <c r="ERT24" s="189"/>
      <c r="ERU24" s="189"/>
      <c r="ERV24" s="189"/>
      <c r="ERW24" s="189"/>
      <c r="ERX24" s="189"/>
      <c r="ERY24" s="189"/>
      <c r="ERZ24" s="189"/>
      <c r="ESA24" s="189"/>
      <c r="ESB24" s="189"/>
      <c r="ESC24" s="189"/>
      <c r="ESD24" s="189"/>
      <c r="ESE24" s="189"/>
      <c r="ESF24" s="189"/>
      <c r="ESG24" s="189"/>
      <c r="ESH24" s="189"/>
      <c r="ESI24" s="189"/>
      <c r="ESJ24" s="189"/>
      <c r="ESK24" s="189"/>
      <c r="ESL24" s="189"/>
      <c r="ESM24" s="189"/>
      <c r="ESN24" s="189"/>
      <c r="ESO24" s="189"/>
      <c r="ESP24" s="189"/>
      <c r="ESQ24" s="189"/>
      <c r="ESR24" s="189"/>
      <c r="ESS24" s="189"/>
      <c r="EST24" s="189"/>
      <c r="ESU24" s="189"/>
      <c r="ESV24" s="189"/>
      <c r="ESW24" s="189"/>
      <c r="ESX24" s="189"/>
      <c r="ESY24" s="189"/>
      <c r="ESZ24" s="189"/>
      <c r="ETA24" s="189"/>
      <c r="ETB24" s="189"/>
      <c r="ETC24" s="189"/>
      <c r="ETD24" s="189"/>
      <c r="ETE24" s="189"/>
      <c r="ETF24" s="189"/>
      <c r="ETG24" s="189"/>
      <c r="ETH24" s="189"/>
      <c r="ETI24" s="189"/>
      <c r="ETJ24" s="189"/>
      <c r="ETK24" s="189"/>
      <c r="ETL24" s="189"/>
      <c r="ETM24" s="189"/>
      <c r="ETN24" s="189"/>
      <c r="ETO24" s="189"/>
      <c r="ETP24" s="189"/>
      <c r="ETQ24" s="189"/>
      <c r="ETR24" s="189"/>
      <c r="ETS24" s="189"/>
      <c r="ETT24" s="189"/>
      <c r="ETU24" s="189"/>
      <c r="ETV24" s="189"/>
      <c r="ETW24" s="189"/>
      <c r="ETX24" s="189"/>
      <c r="ETY24" s="189"/>
      <c r="ETZ24" s="189"/>
      <c r="EUA24" s="189"/>
      <c r="EUB24" s="189"/>
      <c r="EUC24" s="189"/>
      <c r="EUD24" s="189"/>
      <c r="EUE24" s="189"/>
      <c r="EUF24" s="189"/>
      <c r="EUG24" s="189"/>
      <c r="EUH24" s="189"/>
      <c r="EUI24" s="189"/>
      <c r="EUJ24" s="189"/>
      <c r="EUK24" s="189"/>
      <c r="EUL24" s="189"/>
      <c r="EUM24" s="189"/>
      <c r="EUN24" s="189"/>
      <c r="EUO24" s="189"/>
      <c r="EUP24" s="189"/>
      <c r="EUQ24" s="189"/>
      <c r="EUR24" s="189"/>
      <c r="EUS24" s="189"/>
      <c r="EUT24" s="189"/>
      <c r="EUU24" s="189"/>
      <c r="EUV24" s="189"/>
      <c r="EUW24" s="189"/>
      <c r="EUX24" s="189"/>
      <c r="EUY24" s="189"/>
      <c r="EUZ24" s="189"/>
      <c r="EVA24" s="189"/>
      <c r="EVB24" s="189"/>
      <c r="EVC24" s="189"/>
      <c r="EVD24" s="189"/>
      <c r="EVE24" s="189"/>
      <c r="EVF24" s="189"/>
      <c r="EVG24" s="189"/>
      <c r="EVH24" s="189"/>
      <c r="EVI24" s="189"/>
      <c r="EVJ24" s="189"/>
      <c r="EVK24" s="189"/>
      <c r="EVL24" s="189"/>
      <c r="EVM24" s="189"/>
      <c r="EVN24" s="189"/>
      <c r="EVO24" s="189"/>
      <c r="EVP24" s="189"/>
      <c r="EVQ24" s="189"/>
      <c r="EVR24" s="189"/>
      <c r="EVS24" s="189"/>
      <c r="EVT24" s="189"/>
      <c r="EVU24" s="189"/>
      <c r="EVV24" s="189"/>
      <c r="EVW24" s="189"/>
      <c r="EVX24" s="189"/>
      <c r="EVY24" s="189"/>
      <c r="EVZ24" s="189"/>
      <c r="EWA24" s="189"/>
      <c r="EWB24" s="189"/>
      <c r="EWC24" s="189"/>
      <c r="EWD24" s="189"/>
      <c r="EWE24" s="189"/>
      <c r="EWF24" s="189"/>
      <c r="EWG24" s="189"/>
      <c r="EWH24" s="189"/>
      <c r="EWI24" s="189"/>
      <c r="EWJ24" s="189"/>
      <c r="EWK24" s="189"/>
      <c r="EWL24" s="189"/>
      <c r="EWM24" s="189"/>
      <c r="EWN24" s="189"/>
      <c r="EWO24" s="189"/>
      <c r="EWP24" s="189"/>
      <c r="EWQ24" s="189"/>
      <c r="EWR24" s="189"/>
      <c r="EWS24" s="189"/>
      <c r="EWT24" s="189"/>
      <c r="EWU24" s="189"/>
      <c r="EWV24" s="189"/>
      <c r="EWW24" s="189"/>
      <c r="EWX24" s="189"/>
      <c r="EWY24" s="189"/>
      <c r="EWZ24" s="189"/>
      <c r="EXA24" s="189"/>
      <c r="EXB24" s="189"/>
      <c r="EXC24" s="189"/>
      <c r="EXD24" s="189"/>
      <c r="EXE24" s="189"/>
      <c r="EXF24" s="189"/>
      <c r="EXG24" s="189"/>
      <c r="EXH24" s="189"/>
      <c r="EXI24" s="189"/>
      <c r="EXJ24" s="189"/>
      <c r="EXK24" s="189"/>
      <c r="EXL24" s="189"/>
      <c r="EXM24" s="189"/>
      <c r="EXN24" s="189"/>
      <c r="EXO24" s="189"/>
      <c r="EXP24" s="189"/>
      <c r="EXQ24" s="189"/>
      <c r="EXR24" s="189"/>
      <c r="EXS24" s="189"/>
      <c r="EXT24" s="189"/>
      <c r="EXU24" s="189"/>
      <c r="EXV24" s="189"/>
      <c r="EXW24" s="189"/>
      <c r="EXX24" s="189"/>
      <c r="EXY24" s="189"/>
      <c r="EXZ24" s="189"/>
      <c r="EYA24" s="189"/>
      <c r="EYB24" s="189"/>
      <c r="EYC24" s="189"/>
      <c r="EYD24" s="189"/>
      <c r="EYE24" s="189"/>
      <c r="EYF24" s="189"/>
      <c r="EYG24" s="189"/>
      <c r="EYH24" s="189"/>
      <c r="EYI24" s="189"/>
      <c r="EYJ24" s="189"/>
      <c r="EYK24" s="189"/>
      <c r="EYL24" s="189"/>
      <c r="EYM24" s="189"/>
      <c r="EYN24" s="189"/>
      <c r="EYO24" s="189"/>
      <c r="EYP24" s="189"/>
      <c r="EYQ24" s="189"/>
      <c r="EYR24" s="189"/>
      <c r="EYS24" s="189"/>
      <c r="EYT24" s="189"/>
      <c r="EYU24" s="189"/>
      <c r="EYV24" s="189"/>
      <c r="EYW24" s="189"/>
      <c r="EYX24" s="189"/>
      <c r="EYY24" s="189"/>
      <c r="EYZ24" s="189"/>
      <c r="EZA24" s="189"/>
      <c r="EZB24" s="189"/>
      <c r="EZC24" s="189"/>
      <c r="EZD24" s="189"/>
      <c r="EZE24" s="189"/>
      <c r="EZF24" s="189"/>
      <c r="EZG24" s="189"/>
      <c r="EZH24" s="189"/>
      <c r="EZI24" s="189"/>
      <c r="EZJ24" s="189"/>
      <c r="EZK24" s="189"/>
      <c r="EZL24" s="189"/>
      <c r="EZM24" s="189"/>
      <c r="EZN24" s="189"/>
      <c r="EZO24" s="189"/>
      <c r="EZP24" s="189"/>
      <c r="EZQ24" s="189"/>
      <c r="EZR24" s="189"/>
      <c r="EZS24" s="189"/>
      <c r="EZT24" s="189"/>
      <c r="EZU24" s="189"/>
      <c r="EZV24" s="189"/>
      <c r="EZW24" s="189"/>
      <c r="EZX24" s="189"/>
      <c r="EZY24" s="189"/>
      <c r="EZZ24" s="189"/>
      <c r="FAA24" s="189"/>
      <c r="FAB24" s="189"/>
      <c r="FAC24" s="189"/>
      <c r="FAD24" s="189"/>
      <c r="FAE24" s="189"/>
      <c r="FAF24" s="189"/>
      <c r="FAG24" s="189"/>
      <c r="FAH24" s="189"/>
      <c r="FAI24" s="189"/>
      <c r="FAJ24" s="189"/>
      <c r="FAK24" s="189"/>
      <c r="FAL24" s="189"/>
      <c r="FAM24" s="189"/>
      <c r="FAN24" s="189"/>
      <c r="FAO24" s="189"/>
      <c r="FAP24" s="189"/>
      <c r="FAQ24" s="189"/>
      <c r="FAR24" s="189"/>
      <c r="FAS24" s="189"/>
      <c r="FAT24" s="189"/>
      <c r="FAU24" s="189"/>
      <c r="FAV24" s="189"/>
      <c r="FAW24" s="189"/>
      <c r="FAX24" s="189"/>
      <c r="FAY24" s="189"/>
      <c r="FAZ24" s="189"/>
      <c r="FBA24" s="189"/>
      <c r="FBB24" s="189"/>
      <c r="FBC24" s="189"/>
      <c r="FBD24" s="189"/>
      <c r="FBE24" s="189"/>
      <c r="FBF24" s="189"/>
      <c r="FBG24" s="189"/>
      <c r="FBH24" s="189"/>
      <c r="FBI24" s="189"/>
      <c r="FBJ24" s="189"/>
      <c r="FBK24" s="189"/>
      <c r="FBL24" s="189"/>
      <c r="FBM24" s="189"/>
      <c r="FBN24" s="189"/>
      <c r="FBO24" s="189"/>
      <c r="FBP24" s="189"/>
      <c r="FBQ24" s="189"/>
      <c r="FBR24" s="189"/>
      <c r="FBS24" s="189"/>
      <c r="FBT24" s="189"/>
      <c r="FBU24" s="189"/>
      <c r="FBV24" s="189"/>
      <c r="FBW24" s="189"/>
      <c r="FBX24" s="189"/>
      <c r="FBY24" s="189"/>
      <c r="FBZ24" s="189"/>
      <c r="FCA24" s="189"/>
      <c r="FCB24" s="189"/>
      <c r="FCC24" s="189"/>
      <c r="FCD24" s="189"/>
      <c r="FCE24" s="189"/>
      <c r="FCF24" s="189"/>
      <c r="FCG24" s="189"/>
      <c r="FCH24" s="189"/>
      <c r="FCI24" s="189"/>
      <c r="FCJ24" s="189"/>
      <c r="FCK24" s="189"/>
      <c r="FCL24" s="189"/>
      <c r="FCM24" s="189"/>
      <c r="FCN24" s="189"/>
      <c r="FCO24" s="189"/>
      <c r="FCP24" s="189"/>
      <c r="FCQ24" s="189"/>
      <c r="FCR24" s="189"/>
      <c r="FCS24" s="189"/>
      <c r="FCT24" s="189"/>
      <c r="FCU24" s="189"/>
      <c r="FCV24" s="189"/>
      <c r="FCW24" s="189"/>
      <c r="FCX24" s="189"/>
      <c r="FCY24" s="189"/>
      <c r="FCZ24" s="189"/>
      <c r="FDA24" s="189"/>
      <c r="FDB24" s="189"/>
      <c r="FDC24" s="189"/>
      <c r="FDD24" s="189"/>
      <c r="FDE24" s="189"/>
      <c r="FDF24" s="189"/>
      <c r="FDG24" s="189"/>
      <c r="FDH24" s="189"/>
      <c r="FDI24" s="189"/>
      <c r="FDJ24" s="189"/>
      <c r="FDK24" s="189"/>
      <c r="FDL24" s="189"/>
      <c r="FDM24" s="189"/>
      <c r="FDN24" s="189"/>
      <c r="FDO24" s="189"/>
      <c r="FDP24" s="189"/>
      <c r="FDQ24" s="189"/>
      <c r="FDR24" s="189"/>
      <c r="FDS24" s="189"/>
      <c r="FDT24" s="189"/>
      <c r="FDU24" s="189"/>
      <c r="FDV24" s="189"/>
      <c r="FDW24" s="189"/>
      <c r="FDX24" s="189"/>
      <c r="FDY24" s="189"/>
      <c r="FDZ24" s="189"/>
      <c r="FEA24" s="189"/>
      <c r="FEB24" s="189"/>
      <c r="FEC24" s="189"/>
      <c r="FED24" s="189"/>
      <c r="FEE24" s="189"/>
      <c r="FEF24" s="189"/>
      <c r="FEG24" s="189"/>
      <c r="FEH24" s="189"/>
      <c r="FEI24" s="189"/>
      <c r="FEJ24" s="189"/>
      <c r="FEK24" s="189"/>
      <c r="FEL24" s="189"/>
      <c r="FEM24" s="189"/>
      <c r="FEN24" s="189"/>
      <c r="FEO24" s="189"/>
      <c r="FEP24" s="189"/>
      <c r="FEQ24" s="189"/>
      <c r="FER24" s="189"/>
      <c r="FES24" s="189"/>
      <c r="FET24" s="189"/>
      <c r="FEU24" s="189"/>
      <c r="FEV24" s="189"/>
      <c r="FEW24" s="189"/>
      <c r="FEX24" s="189"/>
      <c r="FEY24" s="189"/>
      <c r="FEZ24" s="189"/>
      <c r="FFA24" s="189"/>
      <c r="FFB24" s="189"/>
      <c r="FFC24" s="189"/>
      <c r="FFD24" s="189"/>
      <c r="FFE24" s="189"/>
      <c r="FFF24" s="189"/>
      <c r="FFG24" s="189"/>
      <c r="FFH24" s="189"/>
      <c r="FFI24" s="189"/>
      <c r="FFJ24" s="189"/>
      <c r="FFK24" s="189"/>
      <c r="FFL24" s="189"/>
      <c r="FFM24" s="189"/>
      <c r="FFN24" s="189"/>
      <c r="FFO24" s="189"/>
      <c r="FFP24" s="189"/>
      <c r="FFQ24" s="189"/>
      <c r="FFR24" s="189"/>
      <c r="FFS24" s="189"/>
      <c r="FFT24" s="189"/>
      <c r="FFU24" s="189"/>
      <c r="FFV24" s="189"/>
      <c r="FFW24" s="189"/>
      <c r="FFX24" s="189"/>
      <c r="FFY24" s="189"/>
      <c r="FFZ24" s="189"/>
      <c r="FGA24" s="189"/>
      <c r="FGB24" s="189"/>
      <c r="FGC24" s="189"/>
      <c r="FGD24" s="189"/>
      <c r="FGE24" s="189"/>
      <c r="FGF24" s="189"/>
      <c r="FGG24" s="189"/>
      <c r="FGH24" s="189"/>
      <c r="FGI24" s="189"/>
      <c r="FGJ24" s="189"/>
      <c r="FGK24" s="189"/>
      <c r="FGL24" s="189"/>
      <c r="FGM24" s="189"/>
      <c r="FGN24" s="189"/>
      <c r="FGO24" s="189"/>
      <c r="FGP24" s="189"/>
      <c r="FGQ24" s="189"/>
      <c r="FGR24" s="189"/>
      <c r="FGS24" s="189"/>
      <c r="FGT24" s="189"/>
      <c r="FGU24" s="189"/>
      <c r="FGV24" s="189"/>
      <c r="FGW24" s="189"/>
      <c r="FGX24" s="189"/>
      <c r="FGY24" s="189"/>
      <c r="FGZ24" s="189"/>
      <c r="FHA24" s="189"/>
      <c r="FHB24" s="189"/>
      <c r="FHC24" s="189"/>
      <c r="FHD24" s="189"/>
      <c r="FHE24" s="189"/>
      <c r="FHF24" s="189"/>
      <c r="FHG24" s="189"/>
      <c r="FHH24" s="189"/>
      <c r="FHI24" s="189"/>
      <c r="FHJ24" s="189"/>
      <c r="FHK24" s="189"/>
      <c r="FHL24" s="189"/>
      <c r="FHM24" s="189"/>
      <c r="FHN24" s="189"/>
      <c r="FHO24" s="189"/>
      <c r="FHP24" s="189"/>
      <c r="FHQ24" s="189"/>
      <c r="FHR24" s="189"/>
      <c r="FHS24" s="189"/>
      <c r="FHT24" s="189"/>
      <c r="FHU24" s="189"/>
      <c r="FHV24" s="189"/>
      <c r="FHW24" s="189"/>
      <c r="FHX24" s="189"/>
      <c r="FHY24" s="189"/>
      <c r="FHZ24" s="189"/>
      <c r="FIA24" s="189"/>
      <c r="FIB24" s="189"/>
      <c r="FIC24" s="189"/>
      <c r="FID24" s="189"/>
      <c r="FIE24" s="189"/>
      <c r="FIF24" s="189"/>
      <c r="FIG24" s="189"/>
      <c r="FIH24" s="189"/>
      <c r="FII24" s="189"/>
      <c r="FIJ24" s="189"/>
      <c r="FIK24" s="189"/>
      <c r="FIL24" s="189"/>
      <c r="FIM24" s="189"/>
      <c r="FIN24" s="189"/>
      <c r="FIO24" s="189"/>
      <c r="FIP24" s="189"/>
      <c r="FIQ24" s="189"/>
      <c r="FIR24" s="189"/>
      <c r="FIS24" s="189"/>
      <c r="FIT24" s="189"/>
      <c r="FIU24" s="189"/>
      <c r="FIV24" s="189"/>
      <c r="FIW24" s="189"/>
      <c r="FIX24" s="189"/>
      <c r="FIY24" s="189"/>
      <c r="FIZ24" s="189"/>
      <c r="FJA24" s="189"/>
      <c r="FJB24" s="189"/>
      <c r="FJC24" s="189"/>
      <c r="FJD24" s="189"/>
      <c r="FJE24" s="189"/>
      <c r="FJF24" s="189"/>
      <c r="FJG24" s="189"/>
      <c r="FJH24" s="189"/>
      <c r="FJI24" s="189"/>
      <c r="FJJ24" s="189"/>
      <c r="FJK24" s="189"/>
      <c r="FJL24" s="189"/>
      <c r="FJM24" s="189"/>
      <c r="FJN24" s="189"/>
      <c r="FJO24" s="189"/>
      <c r="FJP24" s="189"/>
      <c r="FJQ24" s="189"/>
      <c r="FJR24" s="189"/>
      <c r="FJS24" s="189"/>
      <c r="FJT24" s="189"/>
      <c r="FJU24" s="189"/>
      <c r="FJV24" s="189"/>
      <c r="FJW24" s="189"/>
      <c r="FJX24" s="189"/>
      <c r="FJY24" s="189"/>
      <c r="FJZ24" s="189"/>
      <c r="FKA24" s="189"/>
      <c r="FKB24" s="189"/>
      <c r="FKC24" s="189"/>
      <c r="FKD24" s="189"/>
      <c r="FKE24" s="189"/>
      <c r="FKF24" s="189"/>
      <c r="FKG24" s="189"/>
      <c r="FKH24" s="189"/>
      <c r="FKI24" s="189"/>
      <c r="FKJ24" s="189"/>
      <c r="FKK24" s="189"/>
      <c r="FKL24" s="189"/>
      <c r="FKM24" s="189"/>
      <c r="FKN24" s="189"/>
      <c r="FKO24" s="189"/>
      <c r="FKP24" s="189"/>
      <c r="FKQ24" s="189"/>
      <c r="FKR24" s="189"/>
      <c r="FKS24" s="189"/>
      <c r="FKT24" s="189"/>
      <c r="FKU24" s="189"/>
      <c r="FKV24" s="189"/>
      <c r="FKW24" s="189"/>
      <c r="FKX24" s="189"/>
      <c r="FKY24" s="189"/>
      <c r="FKZ24" s="189"/>
      <c r="FLA24" s="189"/>
      <c r="FLB24" s="189"/>
      <c r="FLC24" s="189"/>
      <c r="FLD24" s="189"/>
      <c r="FLE24" s="189"/>
      <c r="FLF24" s="189"/>
      <c r="FLG24" s="189"/>
      <c r="FLH24" s="189"/>
      <c r="FLI24" s="189"/>
      <c r="FLJ24" s="189"/>
      <c r="FLK24" s="189"/>
      <c r="FLL24" s="189"/>
      <c r="FLM24" s="189"/>
      <c r="FLN24" s="189"/>
      <c r="FLO24" s="189"/>
      <c r="FLP24" s="189"/>
      <c r="FLQ24" s="189"/>
      <c r="FLR24" s="189"/>
      <c r="FLS24" s="189"/>
      <c r="FLT24" s="189"/>
      <c r="FLU24" s="189"/>
      <c r="FLV24" s="189"/>
      <c r="FLW24" s="189"/>
      <c r="FLX24" s="189"/>
      <c r="FLY24" s="189"/>
      <c r="FLZ24" s="189"/>
      <c r="FMA24" s="189"/>
      <c r="FMB24" s="189"/>
      <c r="FMC24" s="189"/>
      <c r="FMD24" s="189"/>
      <c r="FME24" s="189"/>
      <c r="FMF24" s="189"/>
      <c r="FMG24" s="189"/>
      <c r="FMH24" s="189"/>
      <c r="FMI24" s="189"/>
      <c r="FMJ24" s="189"/>
      <c r="FMK24" s="189"/>
      <c r="FML24" s="189"/>
      <c r="FMM24" s="189"/>
      <c r="FMN24" s="189"/>
      <c r="FMO24" s="189"/>
      <c r="FMP24" s="189"/>
      <c r="FMQ24" s="189"/>
      <c r="FMR24" s="189"/>
      <c r="FMS24" s="189"/>
      <c r="FMT24" s="189"/>
      <c r="FMU24" s="189"/>
      <c r="FMV24" s="189"/>
      <c r="FMW24" s="189"/>
      <c r="FMX24" s="189"/>
      <c r="FMY24" s="189"/>
      <c r="FMZ24" s="189"/>
      <c r="FNA24" s="189"/>
      <c r="FNB24" s="189"/>
      <c r="FNC24" s="189"/>
      <c r="FND24" s="189"/>
      <c r="FNE24" s="189"/>
      <c r="FNF24" s="189"/>
      <c r="FNG24" s="189"/>
      <c r="FNH24" s="189"/>
      <c r="FNI24" s="189"/>
      <c r="FNJ24" s="189"/>
      <c r="FNK24" s="189"/>
      <c r="FNL24" s="189"/>
      <c r="FNM24" s="189"/>
      <c r="FNN24" s="189"/>
      <c r="FNO24" s="189"/>
      <c r="FNP24" s="189"/>
      <c r="FNQ24" s="189"/>
      <c r="FNR24" s="189"/>
      <c r="FNS24" s="189"/>
      <c r="FNT24" s="189"/>
      <c r="FNU24" s="189"/>
      <c r="FNV24" s="189"/>
      <c r="FNW24" s="189"/>
      <c r="FNX24" s="189"/>
      <c r="FNY24" s="189"/>
      <c r="FNZ24" s="189"/>
      <c r="FOA24" s="189"/>
      <c r="FOB24" s="189"/>
      <c r="FOC24" s="189"/>
      <c r="FOD24" s="189"/>
      <c r="FOE24" s="189"/>
      <c r="FOF24" s="189"/>
      <c r="FOG24" s="189"/>
      <c r="FOH24" s="189"/>
      <c r="FOI24" s="189"/>
      <c r="FOJ24" s="189"/>
      <c r="FOK24" s="189"/>
      <c r="FOL24" s="189"/>
      <c r="FOM24" s="189"/>
      <c r="FON24" s="189"/>
      <c r="FOO24" s="189"/>
      <c r="FOP24" s="189"/>
      <c r="FOQ24" s="189"/>
      <c r="FOR24" s="189"/>
      <c r="FOS24" s="189"/>
      <c r="FOT24" s="189"/>
      <c r="FOU24" s="189"/>
      <c r="FOV24" s="189"/>
      <c r="FOW24" s="189"/>
      <c r="FOX24" s="189"/>
      <c r="FOY24" s="189"/>
      <c r="FOZ24" s="189"/>
      <c r="FPA24" s="189"/>
      <c r="FPB24" s="189"/>
      <c r="FPC24" s="189"/>
      <c r="FPD24" s="189"/>
      <c r="FPE24" s="189"/>
      <c r="FPF24" s="189"/>
      <c r="FPG24" s="189"/>
      <c r="FPH24" s="189"/>
      <c r="FPI24" s="189"/>
      <c r="FPJ24" s="189"/>
      <c r="FPK24" s="189"/>
      <c r="FPL24" s="189"/>
      <c r="FPM24" s="189"/>
      <c r="FPN24" s="189"/>
      <c r="FPO24" s="189"/>
      <c r="FPP24" s="189"/>
      <c r="FPQ24" s="189"/>
      <c r="FPR24" s="189"/>
      <c r="FPS24" s="189"/>
      <c r="FPT24" s="189"/>
      <c r="FPU24" s="189"/>
      <c r="FPV24" s="189"/>
      <c r="FPW24" s="189"/>
      <c r="FPX24" s="189"/>
      <c r="FPY24" s="189"/>
      <c r="FPZ24" s="189"/>
      <c r="FQA24" s="189"/>
      <c r="FQB24" s="189"/>
      <c r="FQC24" s="189"/>
      <c r="FQD24" s="189"/>
      <c r="FQE24" s="189"/>
      <c r="FQF24" s="189"/>
      <c r="FQG24" s="189"/>
      <c r="FQH24" s="189"/>
      <c r="FQI24" s="189"/>
      <c r="FQJ24" s="189"/>
      <c r="FQK24" s="189"/>
      <c r="FQL24" s="189"/>
      <c r="FQM24" s="189"/>
      <c r="FQN24" s="189"/>
      <c r="FQO24" s="189"/>
      <c r="FQP24" s="189"/>
      <c r="FQQ24" s="189"/>
      <c r="FQR24" s="189"/>
      <c r="FQS24" s="189"/>
      <c r="FQT24" s="189"/>
      <c r="FQU24" s="189"/>
      <c r="FQV24" s="189"/>
      <c r="FQW24" s="189"/>
      <c r="FQX24" s="189"/>
      <c r="FQY24" s="189"/>
      <c r="FQZ24" s="189"/>
      <c r="FRA24" s="189"/>
      <c r="FRB24" s="189"/>
      <c r="FRC24" s="189"/>
      <c r="FRD24" s="189"/>
      <c r="FRE24" s="189"/>
      <c r="FRF24" s="189"/>
      <c r="FRG24" s="189"/>
      <c r="FRH24" s="189"/>
      <c r="FRI24" s="189"/>
      <c r="FRJ24" s="189"/>
      <c r="FRK24" s="189"/>
      <c r="FRL24" s="189"/>
      <c r="FRM24" s="189"/>
      <c r="FRN24" s="189"/>
      <c r="FRO24" s="189"/>
      <c r="FRP24" s="189"/>
      <c r="FRQ24" s="189"/>
      <c r="FRR24" s="189"/>
      <c r="FRS24" s="189"/>
      <c r="FRT24" s="189"/>
      <c r="FRU24" s="189"/>
      <c r="FRV24" s="189"/>
      <c r="FRW24" s="189"/>
      <c r="FRX24" s="189"/>
      <c r="FRY24" s="189"/>
      <c r="FRZ24" s="189"/>
      <c r="FSA24" s="189"/>
      <c r="FSB24" s="189"/>
      <c r="FSC24" s="189"/>
      <c r="FSD24" s="189"/>
      <c r="FSE24" s="189"/>
      <c r="FSF24" s="189"/>
      <c r="FSG24" s="189"/>
      <c r="FSH24" s="189"/>
      <c r="FSI24" s="189"/>
      <c r="FSJ24" s="189"/>
      <c r="FSK24" s="189"/>
      <c r="FSL24" s="189"/>
      <c r="FSM24" s="189"/>
      <c r="FSN24" s="189"/>
      <c r="FSO24" s="189"/>
      <c r="FSP24" s="189"/>
      <c r="FSQ24" s="189"/>
      <c r="FSR24" s="189"/>
      <c r="FSS24" s="189"/>
      <c r="FST24" s="189"/>
      <c r="FSU24" s="189"/>
      <c r="FSV24" s="189"/>
      <c r="FSW24" s="189"/>
      <c r="FSX24" s="189"/>
      <c r="FSY24" s="189"/>
      <c r="FSZ24" s="189"/>
      <c r="FTA24" s="189"/>
      <c r="FTB24" s="189"/>
      <c r="FTC24" s="189"/>
      <c r="FTD24" s="189"/>
      <c r="FTE24" s="189"/>
      <c r="FTF24" s="189"/>
      <c r="FTG24" s="189"/>
      <c r="FTH24" s="189"/>
      <c r="FTI24" s="189"/>
      <c r="FTJ24" s="189"/>
      <c r="FTK24" s="189"/>
      <c r="FTL24" s="189"/>
      <c r="FTM24" s="189"/>
      <c r="FTN24" s="189"/>
      <c r="FTO24" s="189"/>
      <c r="FTP24" s="189"/>
      <c r="FTQ24" s="189"/>
      <c r="FTR24" s="189"/>
      <c r="FTS24" s="189"/>
      <c r="FTT24" s="189"/>
      <c r="FTU24" s="189"/>
      <c r="FTV24" s="189"/>
      <c r="FTW24" s="189"/>
      <c r="FTX24" s="189"/>
      <c r="FTY24" s="189"/>
      <c r="FTZ24" s="189"/>
      <c r="FUA24" s="189"/>
      <c r="FUB24" s="189"/>
      <c r="FUC24" s="189"/>
      <c r="FUD24" s="189"/>
      <c r="FUE24" s="189"/>
      <c r="FUF24" s="189"/>
      <c r="FUG24" s="189"/>
      <c r="FUH24" s="189"/>
      <c r="FUI24" s="189"/>
      <c r="FUJ24" s="189"/>
      <c r="FUK24" s="189"/>
      <c r="FUL24" s="189"/>
      <c r="FUM24" s="189"/>
      <c r="FUN24" s="189"/>
      <c r="FUO24" s="189"/>
      <c r="FUP24" s="189"/>
      <c r="FUQ24" s="189"/>
      <c r="FUR24" s="189"/>
      <c r="FUS24" s="189"/>
      <c r="FUT24" s="189"/>
      <c r="FUU24" s="189"/>
      <c r="FUV24" s="189"/>
      <c r="FUW24" s="189"/>
      <c r="FUX24" s="189"/>
      <c r="FUY24" s="189"/>
      <c r="FUZ24" s="189"/>
      <c r="FVA24" s="189"/>
      <c r="FVB24" s="189"/>
      <c r="FVC24" s="189"/>
      <c r="FVD24" s="189"/>
      <c r="FVE24" s="189"/>
      <c r="FVF24" s="189"/>
      <c r="FVG24" s="189"/>
      <c r="FVH24" s="189"/>
      <c r="FVI24" s="189"/>
      <c r="FVJ24" s="189"/>
      <c r="FVK24" s="189"/>
      <c r="FVL24" s="189"/>
      <c r="FVM24" s="189"/>
      <c r="FVN24" s="189"/>
      <c r="FVO24" s="189"/>
      <c r="FVP24" s="189"/>
      <c r="FVQ24" s="189"/>
      <c r="FVR24" s="189"/>
      <c r="FVS24" s="189"/>
      <c r="FVT24" s="189"/>
      <c r="FVU24" s="189"/>
      <c r="FVV24" s="189"/>
      <c r="FVW24" s="189"/>
      <c r="FVX24" s="189"/>
      <c r="FVY24" s="189"/>
      <c r="FVZ24" s="189"/>
      <c r="FWA24" s="189"/>
      <c r="FWB24" s="189"/>
      <c r="FWC24" s="189"/>
      <c r="FWD24" s="189"/>
      <c r="FWE24" s="189"/>
      <c r="FWF24" s="189"/>
      <c r="FWG24" s="189"/>
      <c r="FWH24" s="189"/>
      <c r="FWI24" s="189"/>
      <c r="FWJ24" s="189"/>
      <c r="FWK24" s="189"/>
      <c r="FWL24" s="189"/>
      <c r="FWM24" s="189"/>
      <c r="FWN24" s="189"/>
      <c r="FWO24" s="189"/>
      <c r="FWP24" s="189"/>
      <c r="FWQ24" s="189"/>
      <c r="FWR24" s="189"/>
      <c r="FWS24" s="189"/>
      <c r="FWT24" s="189"/>
      <c r="FWU24" s="189"/>
      <c r="FWV24" s="189"/>
      <c r="FWW24" s="189"/>
      <c r="FWX24" s="189"/>
      <c r="FWY24" s="189"/>
      <c r="FWZ24" s="189"/>
      <c r="FXA24" s="189"/>
      <c r="FXB24" s="189"/>
      <c r="FXC24" s="189"/>
      <c r="FXD24" s="189"/>
      <c r="FXE24" s="189"/>
      <c r="FXF24" s="189"/>
      <c r="FXG24" s="189"/>
      <c r="FXH24" s="189"/>
      <c r="FXI24" s="189"/>
      <c r="FXJ24" s="189"/>
      <c r="FXK24" s="189"/>
      <c r="FXL24" s="189"/>
      <c r="FXM24" s="189"/>
      <c r="FXN24" s="189"/>
      <c r="FXO24" s="189"/>
      <c r="FXP24" s="189"/>
      <c r="FXQ24" s="189"/>
      <c r="FXR24" s="189"/>
      <c r="FXS24" s="189"/>
      <c r="FXT24" s="189"/>
      <c r="FXU24" s="189"/>
      <c r="FXV24" s="189"/>
      <c r="FXW24" s="189"/>
      <c r="FXX24" s="189"/>
      <c r="FXY24" s="189"/>
      <c r="FXZ24" s="189"/>
      <c r="FYA24" s="189"/>
      <c r="FYB24" s="189"/>
      <c r="FYC24" s="189"/>
      <c r="FYD24" s="189"/>
      <c r="FYE24" s="189"/>
      <c r="FYF24" s="189"/>
      <c r="FYG24" s="189"/>
      <c r="FYH24" s="189"/>
      <c r="FYI24" s="189"/>
      <c r="FYJ24" s="189"/>
      <c r="FYK24" s="189"/>
      <c r="FYL24" s="189"/>
      <c r="FYM24" s="189"/>
      <c r="FYN24" s="189"/>
      <c r="FYO24" s="189"/>
      <c r="FYP24" s="189"/>
      <c r="FYQ24" s="189"/>
      <c r="FYR24" s="189"/>
      <c r="FYS24" s="189"/>
      <c r="FYT24" s="189"/>
      <c r="FYU24" s="189"/>
      <c r="FYV24" s="189"/>
      <c r="FYW24" s="189"/>
      <c r="FYX24" s="189"/>
      <c r="FYY24" s="189"/>
      <c r="FYZ24" s="189"/>
      <c r="FZA24" s="189"/>
      <c r="FZB24" s="189"/>
      <c r="FZC24" s="189"/>
      <c r="FZD24" s="189"/>
      <c r="FZE24" s="189"/>
      <c r="FZF24" s="189"/>
      <c r="FZG24" s="189"/>
      <c r="FZH24" s="189"/>
      <c r="FZI24" s="189"/>
      <c r="FZJ24" s="189"/>
      <c r="FZK24" s="189"/>
      <c r="FZL24" s="189"/>
      <c r="FZM24" s="189"/>
      <c r="FZN24" s="189"/>
      <c r="FZO24" s="189"/>
      <c r="FZP24" s="189"/>
      <c r="FZQ24" s="189"/>
      <c r="FZR24" s="189"/>
      <c r="FZS24" s="189"/>
      <c r="FZT24" s="189"/>
      <c r="FZU24" s="189"/>
      <c r="FZV24" s="189"/>
      <c r="FZW24" s="189"/>
      <c r="FZX24" s="189"/>
      <c r="FZY24" s="189"/>
      <c r="FZZ24" s="189"/>
      <c r="GAA24" s="189"/>
      <c r="GAB24" s="189"/>
      <c r="GAC24" s="189"/>
      <c r="GAD24" s="189"/>
      <c r="GAE24" s="189"/>
      <c r="GAF24" s="189"/>
      <c r="GAG24" s="189"/>
      <c r="GAH24" s="189"/>
      <c r="GAI24" s="189"/>
      <c r="GAJ24" s="189"/>
      <c r="GAK24" s="189"/>
      <c r="GAL24" s="189"/>
      <c r="GAM24" s="189"/>
      <c r="GAN24" s="189"/>
      <c r="GAO24" s="189"/>
      <c r="GAP24" s="189"/>
      <c r="GAQ24" s="189"/>
      <c r="GAR24" s="189"/>
      <c r="GAS24" s="189"/>
      <c r="GAT24" s="189"/>
      <c r="GAU24" s="189"/>
      <c r="GAV24" s="189"/>
      <c r="GAW24" s="189"/>
      <c r="GAX24" s="189"/>
      <c r="GAY24" s="189"/>
      <c r="GAZ24" s="189"/>
      <c r="GBA24" s="189"/>
      <c r="GBB24" s="189"/>
      <c r="GBC24" s="189"/>
      <c r="GBD24" s="189"/>
      <c r="GBE24" s="189"/>
      <c r="GBF24" s="189"/>
      <c r="GBG24" s="189"/>
      <c r="GBH24" s="189"/>
      <c r="GBI24" s="189"/>
      <c r="GBJ24" s="189"/>
      <c r="GBK24" s="189"/>
      <c r="GBL24" s="189"/>
      <c r="GBM24" s="189"/>
      <c r="GBN24" s="189"/>
      <c r="GBO24" s="189"/>
      <c r="GBP24" s="189"/>
      <c r="GBQ24" s="189"/>
      <c r="GBR24" s="189"/>
      <c r="GBS24" s="189"/>
      <c r="GBT24" s="189"/>
      <c r="GBU24" s="189"/>
      <c r="GBV24" s="189"/>
      <c r="GBW24" s="189"/>
      <c r="GBX24" s="189"/>
      <c r="GBY24" s="189"/>
      <c r="GBZ24" s="189"/>
      <c r="GCA24" s="189"/>
      <c r="GCB24" s="189"/>
      <c r="GCC24" s="189"/>
      <c r="GCD24" s="189"/>
      <c r="GCE24" s="189"/>
      <c r="GCF24" s="189"/>
      <c r="GCG24" s="189"/>
      <c r="GCH24" s="189"/>
      <c r="GCI24" s="189"/>
      <c r="GCJ24" s="189"/>
      <c r="GCK24" s="189"/>
      <c r="GCL24" s="189"/>
      <c r="GCM24" s="189"/>
      <c r="GCN24" s="189"/>
      <c r="GCO24" s="189"/>
      <c r="GCP24" s="189"/>
      <c r="GCQ24" s="189"/>
      <c r="GCR24" s="189"/>
      <c r="GCS24" s="189"/>
      <c r="GCT24" s="189"/>
      <c r="GCU24" s="189"/>
      <c r="GCV24" s="189"/>
      <c r="GCW24" s="189"/>
      <c r="GCX24" s="189"/>
      <c r="GCY24" s="189"/>
      <c r="GCZ24" s="189"/>
      <c r="GDA24" s="189"/>
      <c r="GDB24" s="189"/>
      <c r="GDC24" s="189"/>
      <c r="GDD24" s="189"/>
      <c r="GDE24" s="189"/>
      <c r="GDF24" s="189"/>
      <c r="GDG24" s="189"/>
      <c r="GDH24" s="189"/>
      <c r="GDI24" s="189"/>
      <c r="GDJ24" s="189"/>
      <c r="GDK24" s="189"/>
      <c r="GDL24" s="189"/>
      <c r="GDM24" s="189"/>
      <c r="GDN24" s="189"/>
      <c r="GDO24" s="189"/>
      <c r="GDP24" s="189"/>
      <c r="GDQ24" s="189"/>
      <c r="GDR24" s="189"/>
      <c r="GDS24" s="189"/>
      <c r="GDT24" s="189"/>
      <c r="GDU24" s="189"/>
      <c r="GDV24" s="189"/>
      <c r="GDW24" s="189"/>
      <c r="GDX24" s="189"/>
      <c r="GDY24" s="189"/>
      <c r="GDZ24" s="189"/>
      <c r="GEA24" s="189"/>
      <c r="GEB24" s="189"/>
      <c r="GEC24" s="189"/>
      <c r="GED24" s="189"/>
      <c r="GEE24" s="189"/>
      <c r="GEF24" s="189"/>
      <c r="GEG24" s="189"/>
      <c r="GEH24" s="189"/>
      <c r="GEI24" s="189"/>
      <c r="GEJ24" s="189"/>
      <c r="GEK24" s="189"/>
      <c r="GEL24" s="189"/>
      <c r="GEM24" s="189"/>
      <c r="GEN24" s="189"/>
      <c r="GEO24" s="189"/>
      <c r="GEP24" s="189"/>
      <c r="GEQ24" s="189"/>
      <c r="GER24" s="189"/>
      <c r="GES24" s="189"/>
      <c r="GET24" s="189"/>
      <c r="GEU24" s="189"/>
      <c r="GEV24" s="189"/>
      <c r="GEW24" s="189"/>
      <c r="GEX24" s="189"/>
      <c r="GEY24" s="189"/>
      <c r="GEZ24" s="189"/>
      <c r="GFA24" s="189"/>
      <c r="GFB24" s="189"/>
      <c r="GFC24" s="189"/>
      <c r="GFD24" s="189"/>
      <c r="GFE24" s="189"/>
      <c r="GFF24" s="189"/>
      <c r="GFG24" s="189"/>
      <c r="GFH24" s="189"/>
      <c r="GFI24" s="189"/>
      <c r="GFJ24" s="189"/>
      <c r="GFK24" s="189"/>
      <c r="GFL24" s="189"/>
      <c r="GFM24" s="189"/>
      <c r="GFN24" s="189"/>
      <c r="GFO24" s="189"/>
      <c r="GFP24" s="189"/>
      <c r="GFQ24" s="189"/>
      <c r="GFR24" s="189"/>
      <c r="GFS24" s="189"/>
      <c r="GFT24" s="189"/>
      <c r="GFU24" s="189"/>
      <c r="GFV24" s="189"/>
      <c r="GFW24" s="189"/>
      <c r="GFX24" s="189"/>
      <c r="GFY24" s="189"/>
      <c r="GFZ24" s="189"/>
      <c r="GGA24" s="189"/>
      <c r="GGB24" s="189"/>
      <c r="GGC24" s="189"/>
      <c r="GGD24" s="189"/>
      <c r="GGE24" s="189"/>
      <c r="GGF24" s="189"/>
      <c r="GGG24" s="189"/>
      <c r="GGH24" s="189"/>
      <c r="GGI24" s="189"/>
      <c r="GGJ24" s="189"/>
      <c r="GGK24" s="189"/>
      <c r="GGL24" s="189"/>
      <c r="GGM24" s="189"/>
      <c r="GGN24" s="189"/>
      <c r="GGO24" s="189"/>
      <c r="GGP24" s="189"/>
      <c r="GGQ24" s="189"/>
      <c r="GGR24" s="189"/>
      <c r="GGS24" s="189"/>
      <c r="GGT24" s="189"/>
      <c r="GGU24" s="189"/>
      <c r="GGV24" s="189"/>
      <c r="GGW24" s="189"/>
      <c r="GGX24" s="189"/>
      <c r="GGY24" s="189"/>
      <c r="GGZ24" s="189"/>
      <c r="GHA24" s="189"/>
      <c r="GHB24" s="189"/>
      <c r="GHC24" s="189"/>
      <c r="GHD24" s="189"/>
      <c r="GHE24" s="189"/>
      <c r="GHF24" s="189"/>
      <c r="GHG24" s="189"/>
      <c r="GHH24" s="189"/>
      <c r="GHI24" s="189"/>
      <c r="GHJ24" s="189"/>
      <c r="GHK24" s="189"/>
      <c r="GHL24" s="189"/>
      <c r="GHM24" s="189"/>
      <c r="GHN24" s="189"/>
      <c r="GHO24" s="189"/>
      <c r="GHP24" s="189"/>
      <c r="GHQ24" s="189"/>
      <c r="GHR24" s="189"/>
      <c r="GHS24" s="189"/>
      <c r="GHT24" s="189"/>
      <c r="GHU24" s="189"/>
      <c r="GHV24" s="189"/>
      <c r="GHW24" s="189"/>
      <c r="GHX24" s="189"/>
      <c r="GHY24" s="189"/>
      <c r="GHZ24" s="189"/>
      <c r="GIA24" s="189"/>
      <c r="GIB24" s="189"/>
      <c r="GIC24" s="189"/>
      <c r="GID24" s="189"/>
      <c r="GIE24" s="189"/>
      <c r="GIF24" s="189"/>
      <c r="GIG24" s="189"/>
      <c r="GIH24" s="189"/>
      <c r="GII24" s="189"/>
      <c r="GIJ24" s="189"/>
      <c r="GIK24" s="189"/>
      <c r="GIL24" s="189"/>
      <c r="GIM24" s="189"/>
      <c r="GIN24" s="189"/>
      <c r="GIO24" s="189"/>
      <c r="GIP24" s="189"/>
      <c r="GIQ24" s="189"/>
      <c r="GIR24" s="189"/>
      <c r="GIS24" s="189"/>
      <c r="GIT24" s="189"/>
      <c r="GIU24" s="189"/>
      <c r="GIV24" s="189"/>
      <c r="GIW24" s="189"/>
      <c r="GIX24" s="189"/>
      <c r="GIY24" s="189"/>
      <c r="GIZ24" s="189"/>
      <c r="GJA24" s="189"/>
      <c r="GJB24" s="189"/>
      <c r="GJC24" s="189"/>
      <c r="GJD24" s="189"/>
      <c r="GJE24" s="189"/>
      <c r="GJF24" s="189"/>
      <c r="GJG24" s="189"/>
      <c r="GJH24" s="189"/>
      <c r="GJI24" s="189"/>
      <c r="GJJ24" s="189"/>
      <c r="GJK24" s="189"/>
      <c r="GJL24" s="189"/>
      <c r="GJM24" s="189"/>
      <c r="GJN24" s="189"/>
      <c r="GJO24" s="189"/>
      <c r="GJP24" s="189"/>
      <c r="GJQ24" s="189"/>
      <c r="GJR24" s="189"/>
      <c r="GJS24" s="189"/>
      <c r="GJT24" s="189"/>
      <c r="GJU24" s="189"/>
      <c r="GJV24" s="189"/>
      <c r="GJW24" s="189"/>
      <c r="GJX24" s="189"/>
      <c r="GJY24" s="189"/>
      <c r="GJZ24" s="189"/>
      <c r="GKA24" s="189"/>
      <c r="GKB24" s="189"/>
      <c r="GKC24" s="189"/>
      <c r="GKD24" s="189"/>
      <c r="GKE24" s="189"/>
      <c r="GKF24" s="189"/>
      <c r="GKG24" s="189"/>
      <c r="GKH24" s="189"/>
      <c r="GKI24" s="189"/>
      <c r="GKJ24" s="189"/>
      <c r="GKK24" s="189"/>
      <c r="GKL24" s="189"/>
      <c r="GKM24" s="189"/>
      <c r="GKN24" s="189"/>
      <c r="GKO24" s="189"/>
      <c r="GKP24" s="189"/>
      <c r="GKQ24" s="189"/>
      <c r="GKR24" s="189"/>
      <c r="GKS24" s="189"/>
      <c r="GKT24" s="189"/>
      <c r="GKU24" s="189"/>
      <c r="GKV24" s="189"/>
      <c r="GKW24" s="189"/>
      <c r="GKX24" s="189"/>
      <c r="GKY24" s="189"/>
      <c r="GKZ24" s="189"/>
      <c r="GLA24" s="189"/>
      <c r="GLB24" s="189"/>
      <c r="GLC24" s="189"/>
      <c r="GLD24" s="189"/>
      <c r="GLE24" s="189"/>
      <c r="GLF24" s="189"/>
      <c r="GLG24" s="189"/>
      <c r="GLH24" s="189"/>
      <c r="GLI24" s="189"/>
      <c r="GLJ24" s="189"/>
      <c r="GLK24" s="189"/>
      <c r="GLL24" s="189"/>
      <c r="GLM24" s="189"/>
      <c r="GLN24" s="189"/>
      <c r="GLO24" s="189"/>
      <c r="GLP24" s="189"/>
      <c r="GLQ24" s="189"/>
      <c r="GLR24" s="189"/>
      <c r="GLS24" s="189"/>
      <c r="GLT24" s="189"/>
      <c r="GLU24" s="189"/>
      <c r="GLV24" s="189"/>
      <c r="GLW24" s="189"/>
      <c r="GLX24" s="189"/>
      <c r="GLY24" s="189"/>
      <c r="GLZ24" s="189"/>
      <c r="GMA24" s="189"/>
      <c r="GMB24" s="189"/>
      <c r="GMC24" s="189"/>
      <c r="GMD24" s="189"/>
      <c r="GME24" s="189"/>
      <c r="GMF24" s="189"/>
      <c r="GMG24" s="189"/>
      <c r="GMH24" s="189"/>
      <c r="GMI24" s="189"/>
      <c r="GMJ24" s="189"/>
      <c r="GMK24" s="189"/>
      <c r="GML24" s="189"/>
      <c r="GMM24" s="189"/>
      <c r="GMN24" s="189"/>
      <c r="GMO24" s="189"/>
      <c r="GMP24" s="189"/>
      <c r="GMQ24" s="189"/>
      <c r="GMR24" s="189"/>
      <c r="GMS24" s="189"/>
      <c r="GMT24" s="189"/>
      <c r="GMU24" s="189"/>
      <c r="GMV24" s="189"/>
      <c r="GMW24" s="189"/>
      <c r="GMX24" s="189"/>
      <c r="GMY24" s="189"/>
      <c r="GMZ24" s="189"/>
      <c r="GNA24" s="189"/>
      <c r="GNB24" s="189"/>
      <c r="GNC24" s="189"/>
      <c r="GND24" s="189"/>
      <c r="GNE24" s="189"/>
      <c r="GNF24" s="189"/>
      <c r="GNG24" s="189"/>
      <c r="GNH24" s="189"/>
      <c r="GNI24" s="189"/>
      <c r="GNJ24" s="189"/>
      <c r="GNK24" s="189"/>
      <c r="GNL24" s="189"/>
      <c r="GNM24" s="189"/>
      <c r="GNN24" s="189"/>
      <c r="GNO24" s="189"/>
      <c r="GNP24" s="189"/>
      <c r="GNQ24" s="189"/>
      <c r="GNR24" s="189"/>
      <c r="GNS24" s="189"/>
      <c r="GNT24" s="189"/>
      <c r="GNU24" s="189"/>
      <c r="GNV24" s="189"/>
      <c r="GNW24" s="189"/>
      <c r="GNX24" s="189"/>
      <c r="GNY24" s="189"/>
      <c r="GNZ24" s="189"/>
      <c r="GOA24" s="189"/>
      <c r="GOB24" s="189"/>
      <c r="GOC24" s="189"/>
      <c r="GOD24" s="189"/>
      <c r="GOE24" s="189"/>
      <c r="GOF24" s="189"/>
      <c r="GOG24" s="189"/>
      <c r="GOH24" s="189"/>
      <c r="GOI24" s="189"/>
      <c r="GOJ24" s="189"/>
      <c r="GOK24" s="189"/>
      <c r="GOL24" s="189"/>
      <c r="GOM24" s="189"/>
      <c r="GON24" s="189"/>
      <c r="GOO24" s="189"/>
      <c r="GOP24" s="189"/>
      <c r="GOQ24" s="189"/>
      <c r="GOR24" s="189"/>
      <c r="GOS24" s="189"/>
      <c r="GOT24" s="189"/>
      <c r="GOU24" s="189"/>
      <c r="GOV24" s="189"/>
      <c r="GOW24" s="189"/>
      <c r="GOX24" s="189"/>
      <c r="GOY24" s="189"/>
      <c r="GOZ24" s="189"/>
      <c r="GPA24" s="189"/>
      <c r="GPB24" s="189"/>
      <c r="GPC24" s="189"/>
      <c r="GPD24" s="189"/>
      <c r="GPE24" s="189"/>
      <c r="GPF24" s="189"/>
      <c r="GPG24" s="189"/>
      <c r="GPH24" s="189"/>
      <c r="GPI24" s="189"/>
      <c r="GPJ24" s="189"/>
      <c r="GPK24" s="189"/>
      <c r="GPL24" s="189"/>
      <c r="GPM24" s="189"/>
      <c r="GPN24" s="189"/>
      <c r="GPO24" s="189"/>
      <c r="GPP24" s="189"/>
      <c r="GPQ24" s="189"/>
      <c r="GPR24" s="189"/>
      <c r="GPS24" s="189"/>
      <c r="GPT24" s="189"/>
      <c r="GPU24" s="189"/>
      <c r="GPV24" s="189"/>
      <c r="GPW24" s="189"/>
      <c r="GPX24" s="189"/>
      <c r="GPY24" s="189"/>
      <c r="GPZ24" s="189"/>
      <c r="GQA24" s="189"/>
      <c r="GQB24" s="189"/>
      <c r="GQC24" s="189"/>
      <c r="GQD24" s="189"/>
      <c r="GQE24" s="189"/>
      <c r="GQF24" s="189"/>
      <c r="GQG24" s="189"/>
      <c r="GQH24" s="189"/>
      <c r="GQI24" s="189"/>
      <c r="GQJ24" s="189"/>
      <c r="GQK24" s="189"/>
      <c r="GQL24" s="189"/>
      <c r="GQM24" s="189"/>
      <c r="GQN24" s="189"/>
      <c r="GQO24" s="189"/>
      <c r="GQP24" s="189"/>
      <c r="GQQ24" s="189"/>
      <c r="GQR24" s="189"/>
      <c r="GQS24" s="189"/>
      <c r="GQT24" s="189"/>
      <c r="GQU24" s="189"/>
      <c r="GQV24" s="189"/>
      <c r="GQW24" s="189"/>
      <c r="GQX24" s="189"/>
      <c r="GQY24" s="189"/>
      <c r="GQZ24" s="189"/>
      <c r="GRA24" s="189"/>
      <c r="GRB24" s="189"/>
      <c r="GRC24" s="189"/>
      <c r="GRD24" s="189"/>
      <c r="GRE24" s="189"/>
      <c r="GRF24" s="189"/>
      <c r="GRG24" s="189"/>
      <c r="GRH24" s="189"/>
      <c r="GRI24" s="189"/>
      <c r="GRJ24" s="189"/>
      <c r="GRK24" s="189"/>
      <c r="GRL24" s="189"/>
      <c r="GRM24" s="189"/>
      <c r="GRN24" s="189"/>
      <c r="GRO24" s="189"/>
      <c r="GRP24" s="189"/>
      <c r="GRQ24" s="189"/>
      <c r="GRR24" s="189"/>
      <c r="GRS24" s="189"/>
      <c r="GRT24" s="189"/>
      <c r="GRU24" s="189"/>
      <c r="GRV24" s="189"/>
      <c r="GRW24" s="189"/>
      <c r="GRX24" s="189"/>
      <c r="GRY24" s="189"/>
      <c r="GRZ24" s="189"/>
      <c r="GSA24" s="189"/>
      <c r="GSB24" s="189"/>
      <c r="GSC24" s="189"/>
      <c r="GSD24" s="189"/>
      <c r="GSE24" s="189"/>
      <c r="GSF24" s="189"/>
      <c r="GSG24" s="189"/>
      <c r="GSH24" s="189"/>
      <c r="GSI24" s="189"/>
      <c r="GSJ24" s="189"/>
      <c r="GSK24" s="189"/>
      <c r="GSL24" s="189"/>
      <c r="GSM24" s="189"/>
      <c r="GSN24" s="189"/>
      <c r="GSO24" s="189"/>
      <c r="GSP24" s="189"/>
      <c r="GSQ24" s="189"/>
      <c r="GSR24" s="189"/>
      <c r="GSS24" s="189"/>
      <c r="GST24" s="189"/>
      <c r="GSU24" s="189"/>
      <c r="GSV24" s="189"/>
      <c r="GSW24" s="189"/>
      <c r="GSX24" s="189"/>
      <c r="GSY24" s="189"/>
      <c r="GSZ24" s="189"/>
      <c r="GTA24" s="189"/>
      <c r="GTB24" s="189"/>
      <c r="GTC24" s="189"/>
      <c r="GTD24" s="189"/>
      <c r="GTE24" s="189"/>
      <c r="GTF24" s="189"/>
      <c r="GTG24" s="189"/>
      <c r="GTH24" s="189"/>
      <c r="GTI24" s="189"/>
      <c r="GTJ24" s="189"/>
      <c r="GTK24" s="189"/>
      <c r="GTL24" s="189"/>
      <c r="GTM24" s="189"/>
      <c r="GTN24" s="189"/>
      <c r="GTO24" s="189"/>
      <c r="GTP24" s="189"/>
      <c r="GTQ24" s="189"/>
      <c r="GTR24" s="189"/>
      <c r="GTS24" s="189"/>
      <c r="GTT24" s="189"/>
      <c r="GTU24" s="189"/>
      <c r="GTV24" s="189"/>
      <c r="GTW24" s="189"/>
      <c r="GTX24" s="189"/>
      <c r="GTY24" s="189"/>
      <c r="GTZ24" s="189"/>
      <c r="GUA24" s="189"/>
      <c r="GUB24" s="189"/>
      <c r="GUC24" s="189"/>
      <c r="GUD24" s="189"/>
      <c r="GUE24" s="189"/>
      <c r="GUF24" s="189"/>
      <c r="GUG24" s="189"/>
      <c r="GUH24" s="189"/>
      <c r="GUI24" s="189"/>
      <c r="GUJ24" s="189"/>
      <c r="GUK24" s="189"/>
      <c r="GUL24" s="189"/>
      <c r="GUM24" s="189"/>
      <c r="GUN24" s="189"/>
      <c r="GUO24" s="189"/>
      <c r="GUP24" s="189"/>
      <c r="GUQ24" s="189"/>
      <c r="GUR24" s="189"/>
      <c r="GUS24" s="189"/>
      <c r="GUT24" s="189"/>
      <c r="GUU24" s="189"/>
      <c r="GUV24" s="189"/>
      <c r="GUW24" s="189"/>
      <c r="GUX24" s="189"/>
      <c r="GUY24" s="189"/>
      <c r="GUZ24" s="189"/>
      <c r="GVA24" s="189"/>
      <c r="GVB24" s="189"/>
      <c r="GVC24" s="189"/>
      <c r="GVD24" s="189"/>
      <c r="GVE24" s="189"/>
      <c r="GVF24" s="189"/>
      <c r="GVG24" s="189"/>
      <c r="GVH24" s="189"/>
      <c r="GVI24" s="189"/>
      <c r="GVJ24" s="189"/>
      <c r="GVK24" s="189"/>
      <c r="GVL24" s="189"/>
      <c r="GVM24" s="189"/>
      <c r="GVN24" s="189"/>
      <c r="GVO24" s="189"/>
      <c r="GVP24" s="189"/>
      <c r="GVQ24" s="189"/>
      <c r="GVR24" s="189"/>
      <c r="GVS24" s="189"/>
      <c r="GVT24" s="189"/>
      <c r="GVU24" s="189"/>
      <c r="GVV24" s="189"/>
      <c r="GVW24" s="189"/>
      <c r="GVX24" s="189"/>
      <c r="GVY24" s="189"/>
      <c r="GVZ24" s="189"/>
      <c r="GWA24" s="189"/>
      <c r="GWB24" s="189"/>
      <c r="GWC24" s="189"/>
      <c r="GWD24" s="189"/>
      <c r="GWE24" s="189"/>
      <c r="GWF24" s="189"/>
      <c r="GWG24" s="189"/>
      <c r="GWH24" s="189"/>
      <c r="GWI24" s="189"/>
      <c r="GWJ24" s="189"/>
      <c r="GWK24" s="189"/>
      <c r="GWL24" s="189"/>
      <c r="GWM24" s="189"/>
      <c r="GWN24" s="189"/>
      <c r="GWO24" s="189"/>
      <c r="GWP24" s="189"/>
      <c r="GWQ24" s="189"/>
      <c r="GWR24" s="189"/>
      <c r="GWS24" s="189"/>
      <c r="GWT24" s="189"/>
      <c r="GWU24" s="189"/>
      <c r="GWV24" s="189"/>
      <c r="GWW24" s="189"/>
      <c r="GWX24" s="189"/>
      <c r="GWY24" s="189"/>
      <c r="GWZ24" s="189"/>
      <c r="GXA24" s="189"/>
      <c r="GXB24" s="189"/>
      <c r="GXC24" s="189"/>
      <c r="GXD24" s="189"/>
      <c r="GXE24" s="189"/>
      <c r="GXF24" s="189"/>
      <c r="GXG24" s="189"/>
      <c r="GXH24" s="189"/>
      <c r="GXI24" s="189"/>
      <c r="GXJ24" s="189"/>
      <c r="GXK24" s="189"/>
      <c r="GXL24" s="189"/>
      <c r="GXM24" s="189"/>
      <c r="GXN24" s="189"/>
      <c r="GXO24" s="189"/>
      <c r="GXP24" s="189"/>
      <c r="GXQ24" s="189"/>
      <c r="GXR24" s="189"/>
      <c r="GXS24" s="189"/>
      <c r="GXT24" s="189"/>
      <c r="GXU24" s="189"/>
      <c r="GXV24" s="189"/>
      <c r="GXW24" s="189"/>
      <c r="GXX24" s="189"/>
      <c r="GXY24" s="189"/>
      <c r="GXZ24" s="189"/>
      <c r="GYA24" s="189"/>
      <c r="GYB24" s="189"/>
      <c r="GYC24" s="189"/>
      <c r="GYD24" s="189"/>
      <c r="GYE24" s="189"/>
      <c r="GYF24" s="189"/>
      <c r="GYG24" s="189"/>
      <c r="GYH24" s="189"/>
      <c r="GYI24" s="189"/>
      <c r="GYJ24" s="189"/>
      <c r="GYK24" s="189"/>
      <c r="GYL24" s="189"/>
      <c r="GYM24" s="189"/>
      <c r="GYN24" s="189"/>
      <c r="GYO24" s="189"/>
      <c r="GYP24" s="189"/>
      <c r="GYQ24" s="189"/>
      <c r="GYR24" s="189"/>
      <c r="GYS24" s="189"/>
      <c r="GYT24" s="189"/>
      <c r="GYU24" s="189"/>
      <c r="GYV24" s="189"/>
      <c r="GYW24" s="189"/>
      <c r="GYX24" s="189"/>
      <c r="GYY24" s="189"/>
      <c r="GYZ24" s="189"/>
      <c r="GZA24" s="189"/>
      <c r="GZB24" s="189"/>
      <c r="GZC24" s="189"/>
      <c r="GZD24" s="189"/>
      <c r="GZE24" s="189"/>
      <c r="GZF24" s="189"/>
      <c r="GZG24" s="189"/>
      <c r="GZH24" s="189"/>
      <c r="GZI24" s="189"/>
      <c r="GZJ24" s="189"/>
      <c r="GZK24" s="189"/>
      <c r="GZL24" s="189"/>
      <c r="GZM24" s="189"/>
      <c r="GZN24" s="189"/>
      <c r="GZO24" s="189"/>
      <c r="GZP24" s="189"/>
      <c r="GZQ24" s="189"/>
      <c r="GZR24" s="189"/>
      <c r="GZS24" s="189"/>
      <c r="GZT24" s="189"/>
      <c r="GZU24" s="189"/>
      <c r="GZV24" s="189"/>
      <c r="GZW24" s="189"/>
      <c r="GZX24" s="189"/>
      <c r="GZY24" s="189"/>
      <c r="GZZ24" s="189"/>
      <c r="HAA24" s="189"/>
      <c r="HAB24" s="189"/>
      <c r="HAC24" s="189"/>
      <c r="HAD24" s="189"/>
      <c r="HAE24" s="189"/>
      <c r="HAF24" s="189"/>
      <c r="HAG24" s="189"/>
      <c r="HAH24" s="189"/>
      <c r="HAI24" s="189"/>
      <c r="HAJ24" s="189"/>
      <c r="HAK24" s="189"/>
      <c r="HAL24" s="189"/>
      <c r="HAM24" s="189"/>
      <c r="HAN24" s="189"/>
      <c r="HAO24" s="189"/>
      <c r="HAP24" s="189"/>
      <c r="HAQ24" s="189"/>
      <c r="HAR24" s="189"/>
      <c r="HAS24" s="189"/>
      <c r="HAT24" s="189"/>
      <c r="HAU24" s="189"/>
      <c r="HAV24" s="189"/>
      <c r="HAW24" s="189"/>
      <c r="HAX24" s="189"/>
      <c r="HAY24" s="189"/>
      <c r="HAZ24" s="189"/>
      <c r="HBA24" s="189"/>
      <c r="HBB24" s="189"/>
      <c r="HBC24" s="189"/>
      <c r="HBD24" s="189"/>
      <c r="HBE24" s="189"/>
      <c r="HBF24" s="189"/>
      <c r="HBG24" s="189"/>
      <c r="HBH24" s="189"/>
      <c r="HBI24" s="189"/>
      <c r="HBJ24" s="189"/>
      <c r="HBK24" s="189"/>
      <c r="HBL24" s="189"/>
      <c r="HBM24" s="189"/>
      <c r="HBN24" s="189"/>
      <c r="HBO24" s="189"/>
      <c r="HBP24" s="189"/>
      <c r="HBQ24" s="189"/>
      <c r="HBR24" s="189"/>
      <c r="HBS24" s="189"/>
      <c r="HBT24" s="189"/>
      <c r="HBU24" s="189"/>
      <c r="HBV24" s="189"/>
      <c r="HBW24" s="189"/>
      <c r="HBX24" s="189"/>
      <c r="HBY24" s="189"/>
      <c r="HBZ24" s="189"/>
      <c r="HCA24" s="189"/>
      <c r="HCB24" s="189"/>
      <c r="HCC24" s="189"/>
      <c r="HCD24" s="189"/>
      <c r="HCE24" s="189"/>
      <c r="HCF24" s="189"/>
      <c r="HCG24" s="189"/>
      <c r="HCH24" s="189"/>
      <c r="HCI24" s="189"/>
      <c r="HCJ24" s="189"/>
      <c r="HCK24" s="189"/>
      <c r="HCL24" s="189"/>
      <c r="HCM24" s="189"/>
      <c r="HCN24" s="189"/>
      <c r="HCO24" s="189"/>
      <c r="HCP24" s="189"/>
      <c r="HCQ24" s="189"/>
      <c r="HCR24" s="189"/>
      <c r="HCS24" s="189"/>
      <c r="HCT24" s="189"/>
      <c r="HCU24" s="189"/>
      <c r="HCV24" s="189"/>
      <c r="HCW24" s="189"/>
      <c r="HCX24" s="189"/>
      <c r="HCY24" s="189"/>
      <c r="HCZ24" s="189"/>
      <c r="HDA24" s="189"/>
      <c r="HDB24" s="189"/>
      <c r="HDC24" s="189"/>
      <c r="HDD24" s="189"/>
      <c r="HDE24" s="189"/>
      <c r="HDF24" s="189"/>
      <c r="HDG24" s="189"/>
      <c r="HDH24" s="189"/>
      <c r="HDI24" s="189"/>
      <c r="HDJ24" s="189"/>
      <c r="HDK24" s="189"/>
      <c r="HDL24" s="189"/>
      <c r="HDM24" s="189"/>
      <c r="HDN24" s="189"/>
      <c r="HDO24" s="189"/>
      <c r="HDP24" s="189"/>
      <c r="HDQ24" s="189"/>
      <c r="HDR24" s="189"/>
      <c r="HDS24" s="189"/>
      <c r="HDT24" s="189"/>
      <c r="HDU24" s="189"/>
      <c r="HDV24" s="189"/>
      <c r="HDW24" s="189"/>
      <c r="HDX24" s="189"/>
      <c r="HDY24" s="189"/>
      <c r="HDZ24" s="189"/>
      <c r="HEA24" s="189"/>
      <c r="HEB24" s="189"/>
      <c r="HEC24" s="189"/>
      <c r="HED24" s="189"/>
      <c r="HEE24" s="189"/>
      <c r="HEF24" s="189"/>
      <c r="HEG24" s="189"/>
      <c r="HEH24" s="189"/>
      <c r="HEI24" s="189"/>
      <c r="HEJ24" s="189"/>
      <c r="HEK24" s="189"/>
      <c r="HEL24" s="189"/>
      <c r="HEM24" s="189"/>
      <c r="HEN24" s="189"/>
      <c r="HEO24" s="189"/>
      <c r="HEP24" s="189"/>
      <c r="HEQ24" s="189"/>
      <c r="HER24" s="189"/>
      <c r="HES24" s="189"/>
      <c r="HET24" s="189"/>
      <c r="HEU24" s="189"/>
      <c r="HEV24" s="189"/>
      <c r="HEW24" s="189"/>
      <c r="HEX24" s="189"/>
      <c r="HEY24" s="189"/>
      <c r="HEZ24" s="189"/>
      <c r="HFA24" s="189"/>
      <c r="HFB24" s="189"/>
      <c r="HFC24" s="189"/>
      <c r="HFD24" s="189"/>
      <c r="HFE24" s="189"/>
      <c r="HFF24" s="189"/>
      <c r="HFG24" s="189"/>
      <c r="HFH24" s="189"/>
      <c r="HFI24" s="189"/>
      <c r="HFJ24" s="189"/>
      <c r="HFK24" s="189"/>
      <c r="HFL24" s="189"/>
      <c r="HFM24" s="189"/>
      <c r="HFN24" s="189"/>
      <c r="HFO24" s="189"/>
      <c r="HFP24" s="189"/>
      <c r="HFQ24" s="189"/>
      <c r="HFR24" s="189"/>
      <c r="HFS24" s="189"/>
      <c r="HFT24" s="189"/>
      <c r="HFU24" s="189"/>
      <c r="HFV24" s="189"/>
      <c r="HFW24" s="189"/>
      <c r="HFX24" s="189"/>
      <c r="HFY24" s="189"/>
      <c r="HFZ24" s="189"/>
      <c r="HGA24" s="189"/>
      <c r="HGB24" s="189"/>
      <c r="HGC24" s="189"/>
      <c r="HGD24" s="189"/>
      <c r="HGE24" s="189"/>
      <c r="HGF24" s="189"/>
      <c r="HGG24" s="189"/>
      <c r="HGH24" s="189"/>
      <c r="HGI24" s="189"/>
      <c r="HGJ24" s="189"/>
      <c r="HGK24" s="189"/>
      <c r="HGL24" s="189"/>
      <c r="HGM24" s="189"/>
      <c r="HGN24" s="189"/>
      <c r="HGO24" s="189"/>
      <c r="HGP24" s="189"/>
      <c r="HGQ24" s="189"/>
      <c r="HGR24" s="189"/>
      <c r="HGS24" s="189"/>
      <c r="HGT24" s="189"/>
      <c r="HGU24" s="189"/>
      <c r="HGV24" s="189"/>
      <c r="HGW24" s="189"/>
      <c r="HGX24" s="189"/>
      <c r="HGY24" s="189"/>
      <c r="HGZ24" s="189"/>
      <c r="HHA24" s="189"/>
      <c r="HHB24" s="189"/>
      <c r="HHC24" s="189"/>
      <c r="HHD24" s="189"/>
      <c r="HHE24" s="189"/>
      <c r="HHF24" s="189"/>
      <c r="HHG24" s="189"/>
      <c r="HHH24" s="189"/>
      <c r="HHI24" s="189"/>
      <c r="HHJ24" s="189"/>
      <c r="HHK24" s="189"/>
      <c r="HHL24" s="189"/>
      <c r="HHM24" s="189"/>
      <c r="HHN24" s="189"/>
      <c r="HHO24" s="189"/>
      <c r="HHP24" s="189"/>
      <c r="HHQ24" s="189"/>
      <c r="HHR24" s="189"/>
      <c r="HHS24" s="189"/>
      <c r="HHT24" s="189"/>
      <c r="HHU24" s="189"/>
      <c r="HHV24" s="189"/>
      <c r="HHW24" s="189"/>
      <c r="HHX24" s="189"/>
      <c r="HHY24" s="189"/>
      <c r="HHZ24" s="189"/>
      <c r="HIA24" s="189"/>
      <c r="HIB24" s="189"/>
      <c r="HIC24" s="189"/>
      <c r="HID24" s="189"/>
      <c r="HIE24" s="189"/>
      <c r="HIF24" s="189"/>
      <c r="HIG24" s="189"/>
      <c r="HIH24" s="189"/>
      <c r="HII24" s="189"/>
      <c r="HIJ24" s="189"/>
      <c r="HIK24" s="189"/>
      <c r="HIL24" s="189"/>
      <c r="HIM24" s="189"/>
      <c r="HIN24" s="189"/>
      <c r="HIO24" s="189"/>
      <c r="HIP24" s="189"/>
      <c r="HIQ24" s="189"/>
      <c r="HIR24" s="189"/>
      <c r="HIS24" s="189"/>
      <c r="HIT24" s="189"/>
      <c r="HIU24" s="189"/>
      <c r="HIV24" s="189"/>
      <c r="HIW24" s="189"/>
      <c r="HIX24" s="189"/>
      <c r="HIY24" s="189"/>
      <c r="HIZ24" s="189"/>
      <c r="HJA24" s="189"/>
      <c r="HJB24" s="189"/>
      <c r="HJC24" s="189"/>
      <c r="HJD24" s="189"/>
      <c r="HJE24" s="189"/>
      <c r="HJF24" s="189"/>
      <c r="HJG24" s="189"/>
      <c r="HJH24" s="189"/>
      <c r="HJI24" s="189"/>
      <c r="HJJ24" s="189"/>
      <c r="HJK24" s="189"/>
      <c r="HJL24" s="189"/>
      <c r="HJM24" s="189"/>
      <c r="HJN24" s="189"/>
      <c r="HJO24" s="189"/>
      <c r="HJP24" s="189"/>
      <c r="HJQ24" s="189"/>
      <c r="HJR24" s="189"/>
      <c r="HJS24" s="189"/>
      <c r="HJT24" s="189"/>
      <c r="HJU24" s="189"/>
      <c r="HJV24" s="189"/>
      <c r="HJW24" s="189"/>
      <c r="HJX24" s="189"/>
      <c r="HJY24" s="189"/>
      <c r="HJZ24" s="189"/>
      <c r="HKA24" s="189"/>
      <c r="HKB24" s="189"/>
      <c r="HKC24" s="189"/>
      <c r="HKD24" s="189"/>
      <c r="HKE24" s="189"/>
      <c r="HKF24" s="189"/>
      <c r="HKG24" s="189"/>
      <c r="HKH24" s="189"/>
      <c r="HKI24" s="189"/>
      <c r="HKJ24" s="189"/>
      <c r="HKK24" s="189"/>
      <c r="HKL24" s="189"/>
      <c r="HKM24" s="189"/>
      <c r="HKN24" s="189"/>
      <c r="HKO24" s="189"/>
      <c r="HKP24" s="189"/>
      <c r="HKQ24" s="189"/>
      <c r="HKR24" s="189"/>
      <c r="HKS24" s="189"/>
      <c r="HKT24" s="189"/>
      <c r="HKU24" s="189"/>
      <c r="HKV24" s="189"/>
      <c r="HKW24" s="189"/>
      <c r="HKX24" s="189"/>
      <c r="HKY24" s="189"/>
      <c r="HKZ24" s="189"/>
      <c r="HLA24" s="189"/>
      <c r="HLB24" s="189"/>
      <c r="HLC24" s="189"/>
      <c r="HLD24" s="189"/>
      <c r="HLE24" s="189"/>
      <c r="HLF24" s="189"/>
      <c r="HLG24" s="189"/>
      <c r="HLH24" s="189"/>
      <c r="HLI24" s="189"/>
      <c r="HLJ24" s="189"/>
      <c r="HLK24" s="189"/>
      <c r="HLL24" s="189"/>
      <c r="HLM24" s="189"/>
      <c r="HLN24" s="189"/>
      <c r="HLO24" s="189"/>
      <c r="HLP24" s="189"/>
      <c r="HLQ24" s="189"/>
      <c r="HLR24" s="189"/>
      <c r="HLS24" s="189"/>
      <c r="HLT24" s="189"/>
      <c r="HLU24" s="189"/>
      <c r="HLV24" s="189"/>
      <c r="HLW24" s="189"/>
      <c r="HLX24" s="189"/>
      <c r="HLY24" s="189"/>
      <c r="HLZ24" s="189"/>
      <c r="HMA24" s="189"/>
      <c r="HMB24" s="189"/>
      <c r="HMC24" s="189"/>
      <c r="HMD24" s="189"/>
      <c r="HME24" s="189"/>
      <c r="HMF24" s="189"/>
      <c r="HMG24" s="189"/>
      <c r="HMH24" s="189"/>
      <c r="HMI24" s="189"/>
      <c r="HMJ24" s="189"/>
      <c r="HMK24" s="189"/>
      <c r="HML24" s="189"/>
      <c r="HMM24" s="189"/>
      <c r="HMN24" s="189"/>
      <c r="HMO24" s="189"/>
      <c r="HMP24" s="189"/>
      <c r="HMQ24" s="189"/>
      <c r="HMR24" s="189"/>
      <c r="HMS24" s="189"/>
      <c r="HMT24" s="189"/>
      <c r="HMU24" s="189"/>
      <c r="HMV24" s="189"/>
      <c r="HMW24" s="189"/>
      <c r="HMX24" s="189"/>
      <c r="HMY24" s="189"/>
      <c r="HMZ24" s="189"/>
      <c r="HNA24" s="189"/>
      <c r="HNB24" s="189"/>
      <c r="HNC24" s="189"/>
      <c r="HND24" s="189"/>
      <c r="HNE24" s="189"/>
      <c r="HNF24" s="189"/>
      <c r="HNG24" s="189"/>
      <c r="HNH24" s="189"/>
      <c r="HNI24" s="189"/>
      <c r="HNJ24" s="189"/>
      <c r="HNK24" s="189"/>
      <c r="HNL24" s="189"/>
      <c r="HNM24" s="189"/>
      <c r="HNN24" s="189"/>
      <c r="HNO24" s="189"/>
      <c r="HNP24" s="189"/>
      <c r="HNQ24" s="189"/>
      <c r="HNR24" s="189"/>
      <c r="HNS24" s="189"/>
      <c r="HNT24" s="189"/>
      <c r="HNU24" s="189"/>
      <c r="HNV24" s="189"/>
      <c r="HNW24" s="189"/>
      <c r="HNX24" s="189"/>
      <c r="HNY24" s="189"/>
      <c r="HNZ24" s="189"/>
      <c r="HOA24" s="189"/>
      <c r="HOB24" s="189"/>
      <c r="HOC24" s="189"/>
      <c r="HOD24" s="189"/>
      <c r="HOE24" s="189"/>
      <c r="HOF24" s="189"/>
      <c r="HOG24" s="189"/>
      <c r="HOH24" s="189"/>
      <c r="HOI24" s="189"/>
      <c r="HOJ24" s="189"/>
      <c r="HOK24" s="189"/>
      <c r="HOL24" s="189"/>
      <c r="HOM24" s="189"/>
      <c r="HON24" s="189"/>
      <c r="HOO24" s="189"/>
      <c r="HOP24" s="189"/>
      <c r="HOQ24" s="189"/>
      <c r="HOR24" s="189"/>
      <c r="HOS24" s="189"/>
      <c r="HOT24" s="189"/>
      <c r="HOU24" s="189"/>
      <c r="HOV24" s="189"/>
      <c r="HOW24" s="189"/>
      <c r="HOX24" s="189"/>
      <c r="HOY24" s="189"/>
      <c r="HOZ24" s="189"/>
      <c r="HPA24" s="189"/>
      <c r="HPB24" s="189"/>
      <c r="HPC24" s="189"/>
      <c r="HPD24" s="189"/>
      <c r="HPE24" s="189"/>
      <c r="HPF24" s="189"/>
      <c r="HPG24" s="189"/>
      <c r="HPH24" s="189"/>
      <c r="HPI24" s="189"/>
      <c r="HPJ24" s="189"/>
      <c r="HPK24" s="189"/>
      <c r="HPL24" s="189"/>
      <c r="HPM24" s="189"/>
      <c r="HPN24" s="189"/>
      <c r="HPO24" s="189"/>
      <c r="HPP24" s="189"/>
      <c r="HPQ24" s="189"/>
      <c r="HPR24" s="189"/>
      <c r="HPS24" s="189"/>
      <c r="HPT24" s="189"/>
      <c r="HPU24" s="189"/>
      <c r="HPV24" s="189"/>
      <c r="HPW24" s="189"/>
      <c r="HPX24" s="189"/>
      <c r="HPY24" s="189"/>
      <c r="HPZ24" s="189"/>
      <c r="HQA24" s="189"/>
      <c r="HQB24" s="189"/>
      <c r="HQC24" s="189"/>
      <c r="HQD24" s="189"/>
      <c r="HQE24" s="189"/>
      <c r="HQF24" s="189"/>
      <c r="HQG24" s="189"/>
      <c r="HQH24" s="189"/>
      <c r="HQI24" s="189"/>
      <c r="HQJ24" s="189"/>
      <c r="HQK24" s="189"/>
      <c r="HQL24" s="189"/>
      <c r="HQM24" s="189"/>
      <c r="HQN24" s="189"/>
      <c r="HQO24" s="189"/>
      <c r="HQP24" s="189"/>
      <c r="HQQ24" s="189"/>
      <c r="HQR24" s="189"/>
      <c r="HQS24" s="189"/>
      <c r="HQT24" s="189"/>
      <c r="HQU24" s="189"/>
      <c r="HQV24" s="189"/>
      <c r="HQW24" s="189"/>
      <c r="HQX24" s="189"/>
      <c r="HQY24" s="189"/>
      <c r="HQZ24" s="189"/>
      <c r="HRA24" s="189"/>
      <c r="HRB24" s="189"/>
      <c r="HRC24" s="189"/>
      <c r="HRD24" s="189"/>
      <c r="HRE24" s="189"/>
      <c r="HRF24" s="189"/>
      <c r="HRG24" s="189"/>
      <c r="HRH24" s="189"/>
      <c r="HRI24" s="189"/>
      <c r="HRJ24" s="189"/>
      <c r="HRK24" s="189"/>
      <c r="HRL24" s="189"/>
      <c r="HRM24" s="189"/>
      <c r="HRN24" s="189"/>
      <c r="HRO24" s="189"/>
      <c r="HRP24" s="189"/>
      <c r="HRQ24" s="189"/>
      <c r="HRR24" s="189"/>
      <c r="HRS24" s="189"/>
      <c r="HRT24" s="189"/>
      <c r="HRU24" s="189"/>
      <c r="HRV24" s="189"/>
      <c r="HRW24" s="189"/>
      <c r="HRX24" s="189"/>
      <c r="HRY24" s="189"/>
      <c r="HRZ24" s="189"/>
      <c r="HSA24" s="189"/>
      <c r="HSB24" s="189"/>
      <c r="HSC24" s="189"/>
      <c r="HSD24" s="189"/>
      <c r="HSE24" s="189"/>
      <c r="HSF24" s="189"/>
      <c r="HSG24" s="189"/>
      <c r="HSH24" s="189"/>
      <c r="HSI24" s="189"/>
      <c r="HSJ24" s="189"/>
      <c r="HSK24" s="189"/>
      <c r="HSL24" s="189"/>
      <c r="HSM24" s="189"/>
      <c r="HSN24" s="189"/>
      <c r="HSO24" s="189"/>
      <c r="HSP24" s="189"/>
      <c r="HSQ24" s="189"/>
      <c r="HSR24" s="189"/>
      <c r="HSS24" s="189"/>
      <c r="HST24" s="189"/>
      <c r="HSU24" s="189"/>
      <c r="HSV24" s="189"/>
      <c r="HSW24" s="189"/>
      <c r="HSX24" s="189"/>
      <c r="HSY24" s="189"/>
      <c r="HSZ24" s="189"/>
      <c r="HTA24" s="189"/>
      <c r="HTB24" s="189"/>
      <c r="HTC24" s="189"/>
      <c r="HTD24" s="189"/>
      <c r="HTE24" s="189"/>
      <c r="HTF24" s="189"/>
      <c r="HTG24" s="189"/>
      <c r="HTH24" s="189"/>
      <c r="HTI24" s="189"/>
      <c r="HTJ24" s="189"/>
      <c r="HTK24" s="189"/>
      <c r="HTL24" s="189"/>
      <c r="HTM24" s="189"/>
      <c r="HTN24" s="189"/>
      <c r="HTO24" s="189"/>
      <c r="HTP24" s="189"/>
      <c r="HTQ24" s="189"/>
      <c r="HTR24" s="189"/>
      <c r="HTS24" s="189"/>
      <c r="HTT24" s="189"/>
      <c r="HTU24" s="189"/>
      <c r="HTV24" s="189"/>
      <c r="HTW24" s="189"/>
      <c r="HTX24" s="189"/>
      <c r="HTY24" s="189"/>
      <c r="HTZ24" s="189"/>
      <c r="HUA24" s="189"/>
      <c r="HUB24" s="189"/>
      <c r="HUC24" s="189"/>
      <c r="HUD24" s="189"/>
      <c r="HUE24" s="189"/>
      <c r="HUF24" s="189"/>
      <c r="HUG24" s="189"/>
      <c r="HUH24" s="189"/>
      <c r="HUI24" s="189"/>
      <c r="HUJ24" s="189"/>
      <c r="HUK24" s="189"/>
      <c r="HUL24" s="189"/>
      <c r="HUM24" s="189"/>
      <c r="HUN24" s="189"/>
      <c r="HUO24" s="189"/>
      <c r="HUP24" s="189"/>
      <c r="HUQ24" s="189"/>
      <c r="HUR24" s="189"/>
      <c r="HUS24" s="189"/>
      <c r="HUT24" s="189"/>
      <c r="HUU24" s="189"/>
      <c r="HUV24" s="189"/>
      <c r="HUW24" s="189"/>
      <c r="HUX24" s="189"/>
      <c r="HUY24" s="189"/>
      <c r="HUZ24" s="189"/>
      <c r="HVA24" s="189"/>
      <c r="HVB24" s="189"/>
      <c r="HVC24" s="189"/>
      <c r="HVD24" s="189"/>
      <c r="HVE24" s="189"/>
      <c r="HVF24" s="189"/>
      <c r="HVG24" s="189"/>
      <c r="HVH24" s="189"/>
      <c r="HVI24" s="189"/>
      <c r="HVJ24" s="189"/>
      <c r="HVK24" s="189"/>
      <c r="HVL24" s="189"/>
      <c r="HVM24" s="189"/>
      <c r="HVN24" s="189"/>
      <c r="HVO24" s="189"/>
      <c r="HVP24" s="189"/>
      <c r="HVQ24" s="189"/>
      <c r="HVR24" s="189"/>
      <c r="HVS24" s="189"/>
      <c r="HVT24" s="189"/>
      <c r="HVU24" s="189"/>
      <c r="HVV24" s="189"/>
      <c r="HVW24" s="189"/>
      <c r="HVX24" s="189"/>
      <c r="HVY24" s="189"/>
      <c r="HVZ24" s="189"/>
      <c r="HWA24" s="189"/>
      <c r="HWB24" s="189"/>
      <c r="HWC24" s="189"/>
      <c r="HWD24" s="189"/>
      <c r="HWE24" s="189"/>
      <c r="HWF24" s="189"/>
      <c r="HWG24" s="189"/>
      <c r="HWH24" s="189"/>
      <c r="HWI24" s="189"/>
      <c r="HWJ24" s="189"/>
      <c r="HWK24" s="189"/>
      <c r="HWL24" s="189"/>
      <c r="HWM24" s="189"/>
      <c r="HWN24" s="189"/>
      <c r="HWO24" s="189"/>
      <c r="HWP24" s="189"/>
      <c r="HWQ24" s="189"/>
      <c r="HWR24" s="189"/>
      <c r="HWS24" s="189"/>
      <c r="HWT24" s="189"/>
      <c r="HWU24" s="189"/>
      <c r="HWV24" s="189"/>
      <c r="HWW24" s="189"/>
      <c r="HWX24" s="189"/>
      <c r="HWY24" s="189"/>
      <c r="HWZ24" s="189"/>
      <c r="HXA24" s="189"/>
      <c r="HXB24" s="189"/>
      <c r="HXC24" s="189"/>
      <c r="HXD24" s="189"/>
      <c r="HXE24" s="189"/>
      <c r="HXF24" s="189"/>
      <c r="HXG24" s="189"/>
      <c r="HXH24" s="189"/>
      <c r="HXI24" s="189"/>
      <c r="HXJ24" s="189"/>
      <c r="HXK24" s="189"/>
      <c r="HXL24" s="189"/>
      <c r="HXM24" s="189"/>
      <c r="HXN24" s="189"/>
      <c r="HXO24" s="189"/>
      <c r="HXP24" s="189"/>
      <c r="HXQ24" s="189"/>
      <c r="HXR24" s="189"/>
      <c r="HXS24" s="189"/>
      <c r="HXT24" s="189"/>
      <c r="HXU24" s="189"/>
      <c r="HXV24" s="189"/>
      <c r="HXW24" s="189"/>
      <c r="HXX24" s="189"/>
      <c r="HXY24" s="189"/>
      <c r="HXZ24" s="189"/>
      <c r="HYA24" s="189"/>
      <c r="HYB24" s="189"/>
      <c r="HYC24" s="189"/>
      <c r="HYD24" s="189"/>
      <c r="HYE24" s="189"/>
      <c r="HYF24" s="189"/>
      <c r="HYG24" s="189"/>
      <c r="HYH24" s="189"/>
      <c r="HYI24" s="189"/>
      <c r="HYJ24" s="189"/>
      <c r="HYK24" s="189"/>
      <c r="HYL24" s="189"/>
      <c r="HYM24" s="189"/>
      <c r="HYN24" s="189"/>
      <c r="HYO24" s="189"/>
      <c r="HYP24" s="189"/>
      <c r="HYQ24" s="189"/>
      <c r="HYR24" s="189"/>
      <c r="HYS24" s="189"/>
      <c r="HYT24" s="189"/>
      <c r="HYU24" s="189"/>
      <c r="HYV24" s="189"/>
      <c r="HYW24" s="189"/>
      <c r="HYX24" s="189"/>
      <c r="HYY24" s="189"/>
      <c r="HYZ24" s="189"/>
      <c r="HZA24" s="189"/>
      <c r="HZB24" s="189"/>
      <c r="HZC24" s="189"/>
      <c r="HZD24" s="189"/>
      <c r="HZE24" s="189"/>
      <c r="HZF24" s="189"/>
      <c r="HZG24" s="189"/>
      <c r="HZH24" s="189"/>
      <c r="HZI24" s="189"/>
      <c r="HZJ24" s="189"/>
      <c r="HZK24" s="189"/>
      <c r="HZL24" s="189"/>
      <c r="HZM24" s="189"/>
      <c r="HZN24" s="189"/>
      <c r="HZO24" s="189"/>
      <c r="HZP24" s="189"/>
      <c r="HZQ24" s="189"/>
      <c r="HZR24" s="189"/>
      <c r="HZS24" s="189"/>
      <c r="HZT24" s="189"/>
      <c r="HZU24" s="189"/>
      <c r="HZV24" s="189"/>
      <c r="HZW24" s="189"/>
      <c r="HZX24" s="189"/>
      <c r="HZY24" s="189"/>
      <c r="HZZ24" s="189"/>
      <c r="IAA24" s="189"/>
      <c r="IAB24" s="189"/>
      <c r="IAC24" s="189"/>
      <c r="IAD24" s="189"/>
      <c r="IAE24" s="189"/>
      <c r="IAF24" s="189"/>
      <c r="IAG24" s="189"/>
      <c r="IAH24" s="189"/>
      <c r="IAI24" s="189"/>
      <c r="IAJ24" s="189"/>
      <c r="IAK24" s="189"/>
      <c r="IAL24" s="189"/>
      <c r="IAM24" s="189"/>
      <c r="IAN24" s="189"/>
      <c r="IAO24" s="189"/>
      <c r="IAP24" s="189"/>
      <c r="IAQ24" s="189"/>
      <c r="IAR24" s="189"/>
      <c r="IAS24" s="189"/>
      <c r="IAT24" s="189"/>
      <c r="IAU24" s="189"/>
      <c r="IAV24" s="189"/>
      <c r="IAW24" s="189"/>
      <c r="IAX24" s="189"/>
      <c r="IAY24" s="189"/>
      <c r="IAZ24" s="189"/>
      <c r="IBA24" s="189"/>
      <c r="IBB24" s="189"/>
      <c r="IBC24" s="189"/>
      <c r="IBD24" s="189"/>
      <c r="IBE24" s="189"/>
      <c r="IBF24" s="189"/>
      <c r="IBG24" s="189"/>
      <c r="IBH24" s="189"/>
      <c r="IBI24" s="189"/>
      <c r="IBJ24" s="189"/>
      <c r="IBK24" s="189"/>
      <c r="IBL24" s="189"/>
      <c r="IBM24" s="189"/>
      <c r="IBN24" s="189"/>
      <c r="IBO24" s="189"/>
      <c r="IBP24" s="189"/>
      <c r="IBQ24" s="189"/>
      <c r="IBR24" s="189"/>
      <c r="IBS24" s="189"/>
      <c r="IBT24" s="189"/>
      <c r="IBU24" s="189"/>
      <c r="IBV24" s="189"/>
      <c r="IBW24" s="189"/>
      <c r="IBX24" s="189"/>
      <c r="IBY24" s="189"/>
      <c r="IBZ24" s="189"/>
      <c r="ICA24" s="189"/>
      <c r="ICB24" s="189"/>
      <c r="ICC24" s="189"/>
      <c r="ICD24" s="189"/>
      <c r="ICE24" s="189"/>
      <c r="ICF24" s="189"/>
      <c r="ICG24" s="189"/>
      <c r="ICH24" s="189"/>
      <c r="ICI24" s="189"/>
      <c r="ICJ24" s="189"/>
      <c r="ICK24" s="189"/>
      <c r="ICL24" s="189"/>
      <c r="ICM24" s="189"/>
      <c r="ICN24" s="189"/>
      <c r="ICO24" s="189"/>
      <c r="ICP24" s="189"/>
      <c r="ICQ24" s="189"/>
      <c r="ICR24" s="189"/>
      <c r="ICS24" s="189"/>
      <c r="ICT24" s="189"/>
      <c r="ICU24" s="189"/>
      <c r="ICV24" s="189"/>
      <c r="ICW24" s="189"/>
      <c r="ICX24" s="189"/>
      <c r="ICY24" s="189"/>
      <c r="ICZ24" s="189"/>
      <c r="IDA24" s="189"/>
      <c r="IDB24" s="189"/>
      <c r="IDC24" s="189"/>
      <c r="IDD24" s="189"/>
      <c r="IDE24" s="189"/>
      <c r="IDF24" s="189"/>
      <c r="IDG24" s="189"/>
      <c r="IDH24" s="189"/>
      <c r="IDI24" s="189"/>
      <c r="IDJ24" s="189"/>
      <c r="IDK24" s="189"/>
      <c r="IDL24" s="189"/>
      <c r="IDM24" s="189"/>
      <c r="IDN24" s="189"/>
      <c r="IDO24" s="189"/>
      <c r="IDP24" s="189"/>
      <c r="IDQ24" s="189"/>
      <c r="IDR24" s="189"/>
      <c r="IDS24" s="189"/>
      <c r="IDT24" s="189"/>
      <c r="IDU24" s="189"/>
      <c r="IDV24" s="189"/>
      <c r="IDW24" s="189"/>
      <c r="IDX24" s="189"/>
      <c r="IDY24" s="189"/>
      <c r="IDZ24" s="189"/>
      <c r="IEA24" s="189"/>
      <c r="IEB24" s="189"/>
      <c r="IEC24" s="189"/>
      <c r="IED24" s="189"/>
      <c r="IEE24" s="189"/>
      <c r="IEF24" s="189"/>
      <c r="IEG24" s="189"/>
      <c r="IEH24" s="189"/>
      <c r="IEI24" s="189"/>
      <c r="IEJ24" s="189"/>
      <c r="IEK24" s="189"/>
      <c r="IEL24" s="189"/>
      <c r="IEM24" s="189"/>
      <c r="IEN24" s="189"/>
      <c r="IEO24" s="189"/>
      <c r="IEP24" s="189"/>
      <c r="IEQ24" s="189"/>
      <c r="IER24" s="189"/>
      <c r="IES24" s="189"/>
      <c r="IET24" s="189"/>
      <c r="IEU24" s="189"/>
      <c r="IEV24" s="189"/>
      <c r="IEW24" s="189"/>
      <c r="IEX24" s="189"/>
      <c r="IEY24" s="189"/>
      <c r="IEZ24" s="189"/>
      <c r="IFA24" s="189"/>
      <c r="IFB24" s="189"/>
      <c r="IFC24" s="189"/>
      <c r="IFD24" s="189"/>
      <c r="IFE24" s="189"/>
      <c r="IFF24" s="189"/>
      <c r="IFG24" s="189"/>
      <c r="IFH24" s="189"/>
      <c r="IFI24" s="189"/>
      <c r="IFJ24" s="189"/>
      <c r="IFK24" s="189"/>
      <c r="IFL24" s="189"/>
      <c r="IFM24" s="189"/>
      <c r="IFN24" s="189"/>
      <c r="IFO24" s="189"/>
      <c r="IFP24" s="189"/>
      <c r="IFQ24" s="189"/>
      <c r="IFR24" s="189"/>
      <c r="IFS24" s="189"/>
      <c r="IFT24" s="189"/>
      <c r="IFU24" s="189"/>
      <c r="IFV24" s="189"/>
      <c r="IFW24" s="189"/>
      <c r="IFX24" s="189"/>
      <c r="IFY24" s="189"/>
      <c r="IFZ24" s="189"/>
      <c r="IGA24" s="189"/>
      <c r="IGB24" s="189"/>
      <c r="IGC24" s="189"/>
      <c r="IGD24" s="189"/>
      <c r="IGE24" s="189"/>
      <c r="IGF24" s="189"/>
      <c r="IGG24" s="189"/>
      <c r="IGH24" s="189"/>
      <c r="IGI24" s="189"/>
      <c r="IGJ24" s="189"/>
      <c r="IGK24" s="189"/>
      <c r="IGL24" s="189"/>
      <c r="IGM24" s="189"/>
      <c r="IGN24" s="189"/>
      <c r="IGO24" s="189"/>
      <c r="IGP24" s="189"/>
      <c r="IGQ24" s="189"/>
      <c r="IGR24" s="189"/>
      <c r="IGS24" s="189"/>
      <c r="IGT24" s="189"/>
      <c r="IGU24" s="189"/>
      <c r="IGV24" s="189"/>
      <c r="IGW24" s="189"/>
      <c r="IGX24" s="189"/>
      <c r="IGY24" s="189"/>
      <c r="IGZ24" s="189"/>
      <c r="IHA24" s="189"/>
      <c r="IHB24" s="189"/>
      <c r="IHC24" s="189"/>
      <c r="IHD24" s="189"/>
      <c r="IHE24" s="189"/>
      <c r="IHF24" s="189"/>
      <c r="IHG24" s="189"/>
      <c r="IHH24" s="189"/>
      <c r="IHI24" s="189"/>
      <c r="IHJ24" s="189"/>
      <c r="IHK24" s="189"/>
      <c r="IHL24" s="189"/>
      <c r="IHM24" s="189"/>
      <c r="IHN24" s="189"/>
      <c r="IHO24" s="189"/>
      <c r="IHP24" s="189"/>
      <c r="IHQ24" s="189"/>
      <c r="IHR24" s="189"/>
      <c r="IHS24" s="189"/>
      <c r="IHT24" s="189"/>
      <c r="IHU24" s="189"/>
      <c r="IHV24" s="189"/>
      <c r="IHW24" s="189"/>
      <c r="IHX24" s="189"/>
      <c r="IHY24" s="189"/>
      <c r="IHZ24" s="189"/>
      <c r="IIA24" s="189"/>
      <c r="IIB24" s="189"/>
      <c r="IIC24" s="189"/>
      <c r="IID24" s="189"/>
      <c r="IIE24" s="189"/>
      <c r="IIF24" s="189"/>
      <c r="IIG24" s="189"/>
      <c r="IIH24" s="189"/>
      <c r="III24" s="189"/>
      <c r="IIJ24" s="189"/>
      <c r="IIK24" s="189"/>
      <c r="IIL24" s="189"/>
      <c r="IIM24" s="189"/>
      <c r="IIN24" s="189"/>
      <c r="IIO24" s="189"/>
      <c r="IIP24" s="189"/>
      <c r="IIQ24" s="189"/>
      <c r="IIR24" s="189"/>
      <c r="IIS24" s="189"/>
      <c r="IIT24" s="189"/>
      <c r="IIU24" s="189"/>
      <c r="IIV24" s="189"/>
      <c r="IIW24" s="189"/>
      <c r="IIX24" s="189"/>
      <c r="IIY24" s="189"/>
      <c r="IIZ24" s="189"/>
      <c r="IJA24" s="189"/>
      <c r="IJB24" s="189"/>
      <c r="IJC24" s="189"/>
      <c r="IJD24" s="189"/>
      <c r="IJE24" s="189"/>
      <c r="IJF24" s="189"/>
      <c r="IJG24" s="189"/>
      <c r="IJH24" s="189"/>
      <c r="IJI24" s="189"/>
      <c r="IJJ24" s="189"/>
      <c r="IJK24" s="189"/>
      <c r="IJL24" s="189"/>
      <c r="IJM24" s="189"/>
      <c r="IJN24" s="189"/>
      <c r="IJO24" s="189"/>
      <c r="IJP24" s="189"/>
      <c r="IJQ24" s="189"/>
      <c r="IJR24" s="189"/>
      <c r="IJS24" s="189"/>
      <c r="IJT24" s="189"/>
      <c r="IJU24" s="189"/>
      <c r="IJV24" s="189"/>
      <c r="IJW24" s="189"/>
      <c r="IJX24" s="189"/>
      <c r="IJY24" s="189"/>
      <c r="IJZ24" s="189"/>
      <c r="IKA24" s="189"/>
      <c r="IKB24" s="189"/>
      <c r="IKC24" s="189"/>
      <c r="IKD24" s="189"/>
      <c r="IKE24" s="189"/>
      <c r="IKF24" s="189"/>
      <c r="IKG24" s="189"/>
      <c r="IKH24" s="189"/>
      <c r="IKI24" s="189"/>
      <c r="IKJ24" s="189"/>
      <c r="IKK24" s="189"/>
      <c r="IKL24" s="189"/>
      <c r="IKM24" s="189"/>
      <c r="IKN24" s="189"/>
      <c r="IKO24" s="189"/>
      <c r="IKP24" s="189"/>
      <c r="IKQ24" s="189"/>
      <c r="IKR24" s="189"/>
      <c r="IKS24" s="189"/>
      <c r="IKT24" s="189"/>
      <c r="IKU24" s="189"/>
      <c r="IKV24" s="189"/>
      <c r="IKW24" s="189"/>
      <c r="IKX24" s="189"/>
      <c r="IKY24" s="189"/>
      <c r="IKZ24" s="189"/>
      <c r="ILA24" s="189"/>
      <c r="ILB24" s="189"/>
      <c r="ILC24" s="189"/>
      <c r="ILD24" s="189"/>
      <c r="ILE24" s="189"/>
      <c r="ILF24" s="189"/>
      <c r="ILG24" s="189"/>
      <c r="ILH24" s="189"/>
      <c r="ILI24" s="189"/>
      <c r="ILJ24" s="189"/>
      <c r="ILK24" s="189"/>
      <c r="ILL24" s="189"/>
      <c r="ILM24" s="189"/>
      <c r="ILN24" s="189"/>
      <c r="ILO24" s="189"/>
      <c r="ILP24" s="189"/>
      <c r="ILQ24" s="189"/>
      <c r="ILR24" s="189"/>
      <c r="ILS24" s="189"/>
      <c r="ILT24" s="189"/>
      <c r="ILU24" s="189"/>
      <c r="ILV24" s="189"/>
      <c r="ILW24" s="189"/>
      <c r="ILX24" s="189"/>
      <c r="ILY24" s="189"/>
      <c r="ILZ24" s="189"/>
      <c r="IMA24" s="189"/>
      <c r="IMB24" s="189"/>
      <c r="IMC24" s="189"/>
      <c r="IMD24" s="189"/>
      <c r="IME24" s="189"/>
      <c r="IMF24" s="189"/>
      <c r="IMG24" s="189"/>
      <c r="IMH24" s="189"/>
      <c r="IMI24" s="189"/>
      <c r="IMJ24" s="189"/>
      <c r="IMK24" s="189"/>
      <c r="IML24" s="189"/>
      <c r="IMM24" s="189"/>
      <c r="IMN24" s="189"/>
      <c r="IMO24" s="189"/>
      <c r="IMP24" s="189"/>
      <c r="IMQ24" s="189"/>
      <c r="IMR24" s="189"/>
      <c r="IMS24" s="189"/>
      <c r="IMT24" s="189"/>
      <c r="IMU24" s="189"/>
      <c r="IMV24" s="189"/>
      <c r="IMW24" s="189"/>
      <c r="IMX24" s="189"/>
      <c r="IMY24" s="189"/>
      <c r="IMZ24" s="189"/>
      <c r="INA24" s="189"/>
      <c r="INB24" s="189"/>
      <c r="INC24" s="189"/>
      <c r="IND24" s="189"/>
      <c r="INE24" s="189"/>
      <c r="INF24" s="189"/>
      <c r="ING24" s="189"/>
      <c r="INH24" s="189"/>
      <c r="INI24" s="189"/>
      <c r="INJ24" s="189"/>
      <c r="INK24" s="189"/>
      <c r="INL24" s="189"/>
      <c r="INM24" s="189"/>
      <c r="INN24" s="189"/>
      <c r="INO24" s="189"/>
      <c r="INP24" s="189"/>
      <c r="INQ24" s="189"/>
      <c r="INR24" s="189"/>
      <c r="INS24" s="189"/>
      <c r="INT24" s="189"/>
      <c r="INU24" s="189"/>
      <c r="INV24" s="189"/>
      <c r="INW24" s="189"/>
      <c r="INX24" s="189"/>
      <c r="INY24" s="189"/>
      <c r="INZ24" s="189"/>
      <c r="IOA24" s="189"/>
      <c r="IOB24" s="189"/>
      <c r="IOC24" s="189"/>
      <c r="IOD24" s="189"/>
      <c r="IOE24" s="189"/>
      <c r="IOF24" s="189"/>
      <c r="IOG24" s="189"/>
      <c r="IOH24" s="189"/>
      <c r="IOI24" s="189"/>
      <c r="IOJ24" s="189"/>
      <c r="IOK24" s="189"/>
      <c r="IOL24" s="189"/>
      <c r="IOM24" s="189"/>
      <c r="ION24" s="189"/>
      <c r="IOO24" s="189"/>
      <c r="IOP24" s="189"/>
      <c r="IOQ24" s="189"/>
      <c r="IOR24" s="189"/>
      <c r="IOS24" s="189"/>
      <c r="IOT24" s="189"/>
      <c r="IOU24" s="189"/>
      <c r="IOV24" s="189"/>
      <c r="IOW24" s="189"/>
      <c r="IOX24" s="189"/>
      <c r="IOY24" s="189"/>
      <c r="IOZ24" s="189"/>
      <c r="IPA24" s="189"/>
      <c r="IPB24" s="189"/>
      <c r="IPC24" s="189"/>
      <c r="IPD24" s="189"/>
      <c r="IPE24" s="189"/>
      <c r="IPF24" s="189"/>
      <c r="IPG24" s="189"/>
      <c r="IPH24" s="189"/>
      <c r="IPI24" s="189"/>
      <c r="IPJ24" s="189"/>
      <c r="IPK24" s="189"/>
      <c r="IPL24" s="189"/>
      <c r="IPM24" s="189"/>
      <c r="IPN24" s="189"/>
      <c r="IPO24" s="189"/>
      <c r="IPP24" s="189"/>
      <c r="IPQ24" s="189"/>
      <c r="IPR24" s="189"/>
      <c r="IPS24" s="189"/>
      <c r="IPT24" s="189"/>
      <c r="IPU24" s="189"/>
      <c r="IPV24" s="189"/>
      <c r="IPW24" s="189"/>
      <c r="IPX24" s="189"/>
      <c r="IPY24" s="189"/>
      <c r="IPZ24" s="189"/>
      <c r="IQA24" s="189"/>
      <c r="IQB24" s="189"/>
      <c r="IQC24" s="189"/>
      <c r="IQD24" s="189"/>
      <c r="IQE24" s="189"/>
      <c r="IQF24" s="189"/>
      <c r="IQG24" s="189"/>
      <c r="IQH24" s="189"/>
      <c r="IQI24" s="189"/>
      <c r="IQJ24" s="189"/>
      <c r="IQK24" s="189"/>
      <c r="IQL24" s="189"/>
      <c r="IQM24" s="189"/>
      <c r="IQN24" s="189"/>
      <c r="IQO24" s="189"/>
      <c r="IQP24" s="189"/>
      <c r="IQQ24" s="189"/>
      <c r="IQR24" s="189"/>
      <c r="IQS24" s="189"/>
      <c r="IQT24" s="189"/>
      <c r="IQU24" s="189"/>
      <c r="IQV24" s="189"/>
      <c r="IQW24" s="189"/>
      <c r="IQX24" s="189"/>
      <c r="IQY24" s="189"/>
      <c r="IQZ24" s="189"/>
      <c r="IRA24" s="189"/>
      <c r="IRB24" s="189"/>
      <c r="IRC24" s="189"/>
      <c r="IRD24" s="189"/>
      <c r="IRE24" s="189"/>
      <c r="IRF24" s="189"/>
      <c r="IRG24" s="189"/>
      <c r="IRH24" s="189"/>
      <c r="IRI24" s="189"/>
      <c r="IRJ24" s="189"/>
      <c r="IRK24" s="189"/>
      <c r="IRL24" s="189"/>
      <c r="IRM24" s="189"/>
      <c r="IRN24" s="189"/>
      <c r="IRO24" s="189"/>
      <c r="IRP24" s="189"/>
      <c r="IRQ24" s="189"/>
      <c r="IRR24" s="189"/>
      <c r="IRS24" s="189"/>
      <c r="IRT24" s="189"/>
      <c r="IRU24" s="189"/>
      <c r="IRV24" s="189"/>
      <c r="IRW24" s="189"/>
      <c r="IRX24" s="189"/>
      <c r="IRY24" s="189"/>
      <c r="IRZ24" s="189"/>
      <c r="ISA24" s="189"/>
      <c r="ISB24" s="189"/>
      <c r="ISC24" s="189"/>
      <c r="ISD24" s="189"/>
      <c r="ISE24" s="189"/>
      <c r="ISF24" s="189"/>
      <c r="ISG24" s="189"/>
      <c r="ISH24" s="189"/>
      <c r="ISI24" s="189"/>
      <c r="ISJ24" s="189"/>
      <c r="ISK24" s="189"/>
      <c r="ISL24" s="189"/>
      <c r="ISM24" s="189"/>
      <c r="ISN24" s="189"/>
      <c r="ISO24" s="189"/>
      <c r="ISP24" s="189"/>
      <c r="ISQ24" s="189"/>
      <c r="ISR24" s="189"/>
      <c r="ISS24" s="189"/>
      <c r="IST24" s="189"/>
      <c r="ISU24" s="189"/>
      <c r="ISV24" s="189"/>
      <c r="ISW24" s="189"/>
      <c r="ISX24" s="189"/>
      <c r="ISY24" s="189"/>
      <c r="ISZ24" s="189"/>
      <c r="ITA24" s="189"/>
      <c r="ITB24" s="189"/>
      <c r="ITC24" s="189"/>
      <c r="ITD24" s="189"/>
      <c r="ITE24" s="189"/>
      <c r="ITF24" s="189"/>
      <c r="ITG24" s="189"/>
      <c r="ITH24" s="189"/>
      <c r="ITI24" s="189"/>
      <c r="ITJ24" s="189"/>
      <c r="ITK24" s="189"/>
      <c r="ITL24" s="189"/>
      <c r="ITM24" s="189"/>
      <c r="ITN24" s="189"/>
      <c r="ITO24" s="189"/>
      <c r="ITP24" s="189"/>
      <c r="ITQ24" s="189"/>
      <c r="ITR24" s="189"/>
      <c r="ITS24" s="189"/>
      <c r="ITT24" s="189"/>
      <c r="ITU24" s="189"/>
      <c r="ITV24" s="189"/>
      <c r="ITW24" s="189"/>
      <c r="ITX24" s="189"/>
      <c r="ITY24" s="189"/>
      <c r="ITZ24" s="189"/>
      <c r="IUA24" s="189"/>
      <c r="IUB24" s="189"/>
      <c r="IUC24" s="189"/>
      <c r="IUD24" s="189"/>
      <c r="IUE24" s="189"/>
      <c r="IUF24" s="189"/>
      <c r="IUG24" s="189"/>
      <c r="IUH24" s="189"/>
      <c r="IUI24" s="189"/>
      <c r="IUJ24" s="189"/>
      <c r="IUK24" s="189"/>
      <c r="IUL24" s="189"/>
      <c r="IUM24" s="189"/>
      <c r="IUN24" s="189"/>
      <c r="IUO24" s="189"/>
      <c r="IUP24" s="189"/>
      <c r="IUQ24" s="189"/>
      <c r="IUR24" s="189"/>
      <c r="IUS24" s="189"/>
      <c r="IUT24" s="189"/>
      <c r="IUU24" s="189"/>
      <c r="IUV24" s="189"/>
      <c r="IUW24" s="189"/>
      <c r="IUX24" s="189"/>
      <c r="IUY24" s="189"/>
      <c r="IUZ24" s="189"/>
      <c r="IVA24" s="189"/>
      <c r="IVB24" s="189"/>
      <c r="IVC24" s="189"/>
      <c r="IVD24" s="189"/>
      <c r="IVE24" s="189"/>
      <c r="IVF24" s="189"/>
      <c r="IVG24" s="189"/>
      <c r="IVH24" s="189"/>
      <c r="IVI24" s="189"/>
      <c r="IVJ24" s="189"/>
      <c r="IVK24" s="189"/>
      <c r="IVL24" s="189"/>
      <c r="IVM24" s="189"/>
      <c r="IVN24" s="189"/>
      <c r="IVO24" s="189"/>
      <c r="IVP24" s="189"/>
      <c r="IVQ24" s="189"/>
      <c r="IVR24" s="189"/>
      <c r="IVS24" s="189"/>
      <c r="IVT24" s="189"/>
      <c r="IVU24" s="189"/>
      <c r="IVV24" s="189"/>
      <c r="IVW24" s="189"/>
      <c r="IVX24" s="189"/>
      <c r="IVY24" s="189"/>
      <c r="IVZ24" s="189"/>
      <c r="IWA24" s="189"/>
      <c r="IWB24" s="189"/>
      <c r="IWC24" s="189"/>
      <c r="IWD24" s="189"/>
      <c r="IWE24" s="189"/>
      <c r="IWF24" s="189"/>
      <c r="IWG24" s="189"/>
      <c r="IWH24" s="189"/>
      <c r="IWI24" s="189"/>
      <c r="IWJ24" s="189"/>
      <c r="IWK24" s="189"/>
      <c r="IWL24" s="189"/>
      <c r="IWM24" s="189"/>
      <c r="IWN24" s="189"/>
      <c r="IWO24" s="189"/>
      <c r="IWP24" s="189"/>
      <c r="IWQ24" s="189"/>
      <c r="IWR24" s="189"/>
      <c r="IWS24" s="189"/>
      <c r="IWT24" s="189"/>
      <c r="IWU24" s="189"/>
      <c r="IWV24" s="189"/>
      <c r="IWW24" s="189"/>
      <c r="IWX24" s="189"/>
      <c r="IWY24" s="189"/>
      <c r="IWZ24" s="189"/>
      <c r="IXA24" s="189"/>
      <c r="IXB24" s="189"/>
      <c r="IXC24" s="189"/>
      <c r="IXD24" s="189"/>
      <c r="IXE24" s="189"/>
      <c r="IXF24" s="189"/>
      <c r="IXG24" s="189"/>
      <c r="IXH24" s="189"/>
      <c r="IXI24" s="189"/>
      <c r="IXJ24" s="189"/>
      <c r="IXK24" s="189"/>
      <c r="IXL24" s="189"/>
      <c r="IXM24" s="189"/>
      <c r="IXN24" s="189"/>
      <c r="IXO24" s="189"/>
      <c r="IXP24" s="189"/>
      <c r="IXQ24" s="189"/>
      <c r="IXR24" s="189"/>
      <c r="IXS24" s="189"/>
      <c r="IXT24" s="189"/>
      <c r="IXU24" s="189"/>
      <c r="IXV24" s="189"/>
      <c r="IXW24" s="189"/>
      <c r="IXX24" s="189"/>
      <c r="IXY24" s="189"/>
      <c r="IXZ24" s="189"/>
      <c r="IYA24" s="189"/>
      <c r="IYB24" s="189"/>
      <c r="IYC24" s="189"/>
      <c r="IYD24" s="189"/>
      <c r="IYE24" s="189"/>
      <c r="IYF24" s="189"/>
      <c r="IYG24" s="189"/>
      <c r="IYH24" s="189"/>
      <c r="IYI24" s="189"/>
      <c r="IYJ24" s="189"/>
      <c r="IYK24" s="189"/>
      <c r="IYL24" s="189"/>
      <c r="IYM24" s="189"/>
      <c r="IYN24" s="189"/>
      <c r="IYO24" s="189"/>
      <c r="IYP24" s="189"/>
      <c r="IYQ24" s="189"/>
      <c r="IYR24" s="189"/>
      <c r="IYS24" s="189"/>
      <c r="IYT24" s="189"/>
      <c r="IYU24" s="189"/>
      <c r="IYV24" s="189"/>
      <c r="IYW24" s="189"/>
      <c r="IYX24" s="189"/>
      <c r="IYY24" s="189"/>
      <c r="IYZ24" s="189"/>
      <c r="IZA24" s="189"/>
      <c r="IZB24" s="189"/>
      <c r="IZC24" s="189"/>
      <c r="IZD24" s="189"/>
      <c r="IZE24" s="189"/>
      <c r="IZF24" s="189"/>
      <c r="IZG24" s="189"/>
      <c r="IZH24" s="189"/>
      <c r="IZI24" s="189"/>
      <c r="IZJ24" s="189"/>
      <c r="IZK24" s="189"/>
      <c r="IZL24" s="189"/>
      <c r="IZM24" s="189"/>
      <c r="IZN24" s="189"/>
      <c r="IZO24" s="189"/>
      <c r="IZP24" s="189"/>
      <c r="IZQ24" s="189"/>
      <c r="IZR24" s="189"/>
      <c r="IZS24" s="189"/>
      <c r="IZT24" s="189"/>
      <c r="IZU24" s="189"/>
      <c r="IZV24" s="189"/>
      <c r="IZW24" s="189"/>
      <c r="IZX24" s="189"/>
      <c r="IZY24" s="189"/>
      <c r="IZZ24" s="189"/>
      <c r="JAA24" s="189"/>
      <c r="JAB24" s="189"/>
      <c r="JAC24" s="189"/>
      <c r="JAD24" s="189"/>
      <c r="JAE24" s="189"/>
      <c r="JAF24" s="189"/>
      <c r="JAG24" s="189"/>
      <c r="JAH24" s="189"/>
      <c r="JAI24" s="189"/>
      <c r="JAJ24" s="189"/>
      <c r="JAK24" s="189"/>
      <c r="JAL24" s="189"/>
      <c r="JAM24" s="189"/>
      <c r="JAN24" s="189"/>
      <c r="JAO24" s="189"/>
      <c r="JAP24" s="189"/>
      <c r="JAQ24" s="189"/>
      <c r="JAR24" s="189"/>
      <c r="JAS24" s="189"/>
      <c r="JAT24" s="189"/>
      <c r="JAU24" s="189"/>
      <c r="JAV24" s="189"/>
      <c r="JAW24" s="189"/>
      <c r="JAX24" s="189"/>
      <c r="JAY24" s="189"/>
      <c r="JAZ24" s="189"/>
      <c r="JBA24" s="189"/>
      <c r="JBB24" s="189"/>
      <c r="JBC24" s="189"/>
      <c r="JBD24" s="189"/>
      <c r="JBE24" s="189"/>
      <c r="JBF24" s="189"/>
      <c r="JBG24" s="189"/>
      <c r="JBH24" s="189"/>
      <c r="JBI24" s="189"/>
      <c r="JBJ24" s="189"/>
      <c r="JBK24" s="189"/>
      <c r="JBL24" s="189"/>
      <c r="JBM24" s="189"/>
      <c r="JBN24" s="189"/>
      <c r="JBO24" s="189"/>
      <c r="JBP24" s="189"/>
      <c r="JBQ24" s="189"/>
      <c r="JBR24" s="189"/>
      <c r="JBS24" s="189"/>
      <c r="JBT24" s="189"/>
      <c r="JBU24" s="189"/>
      <c r="JBV24" s="189"/>
      <c r="JBW24" s="189"/>
      <c r="JBX24" s="189"/>
      <c r="JBY24" s="189"/>
      <c r="JBZ24" s="189"/>
      <c r="JCA24" s="189"/>
      <c r="JCB24" s="189"/>
      <c r="JCC24" s="189"/>
      <c r="JCD24" s="189"/>
      <c r="JCE24" s="189"/>
      <c r="JCF24" s="189"/>
      <c r="JCG24" s="189"/>
      <c r="JCH24" s="189"/>
      <c r="JCI24" s="189"/>
      <c r="JCJ24" s="189"/>
      <c r="JCK24" s="189"/>
      <c r="JCL24" s="189"/>
      <c r="JCM24" s="189"/>
      <c r="JCN24" s="189"/>
      <c r="JCO24" s="189"/>
      <c r="JCP24" s="189"/>
      <c r="JCQ24" s="189"/>
      <c r="JCR24" s="189"/>
      <c r="JCS24" s="189"/>
      <c r="JCT24" s="189"/>
      <c r="JCU24" s="189"/>
      <c r="JCV24" s="189"/>
      <c r="JCW24" s="189"/>
      <c r="JCX24" s="189"/>
      <c r="JCY24" s="189"/>
      <c r="JCZ24" s="189"/>
      <c r="JDA24" s="189"/>
      <c r="JDB24" s="189"/>
      <c r="JDC24" s="189"/>
      <c r="JDD24" s="189"/>
      <c r="JDE24" s="189"/>
      <c r="JDF24" s="189"/>
      <c r="JDG24" s="189"/>
      <c r="JDH24" s="189"/>
      <c r="JDI24" s="189"/>
      <c r="JDJ24" s="189"/>
      <c r="JDK24" s="189"/>
      <c r="JDL24" s="189"/>
      <c r="JDM24" s="189"/>
      <c r="JDN24" s="189"/>
      <c r="JDO24" s="189"/>
      <c r="JDP24" s="189"/>
      <c r="JDQ24" s="189"/>
      <c r="JDR24" s="189"/>
      <c r="JDS24" s="189"/>
      <c r="JDT24" s="189"/>
      <c r="JDU24" s="189"/>
      <c r="JDV24" s="189"/>
      <c r="JDW24" s="189"/>
      <c r="JDX24" s="189"/>
      <c r="JDY24" s="189"/>
      <c r="JDZ24" s="189"/>
      <c r="JEA24" s="189"/>
      <c r="JEB24" s="189"/>
      <c r="JEC24" s="189"/>
      <c r="JED24" s="189"/>
      <c r="JEE24" s="189"/>
      <c r="JEF24" s="189"/>
      <c r="JEG24" s="189"/>
      <c r="JEH24" s="189"/>
      <c r="JEI24" s="189"/>
      <c r="JEJ24" s="189"/>
      <c r="JEK24" s="189"/>
      <c r="JEL24" s="189"/>
      <c r="JEM24" s="189"/>
      <c r="JEN24" s="189"/>
      <c r="JEO24" s="189"/>
      <c r="JEP24" s="189"/>
      <c r="JEQ24" s="189"/>
      <c r="JER24" s="189"/>
      <c r="JES24" s="189"/>
      <c r="JET24" s="189"/>
      <c r="JEU24" s="189"/>
      <c r="JEV24" s="189"/>
      <c r="JEW24" s="189"/>
      <c r="JEX24" s="189"/>
      <c r="JEY24" s="189"/>
      <c r="JEZ24" s="189"/>
      <c r="JFA24" s="189"/>
      <c r="JFB24" s="189"/>
      <c r="JFC24" s="189"/>
      <c r="JFD24" s="189"/>
      <c r="JFE24" s="189"/>
      <c r="JFF24" s="189"/>
      <c r="JFG24" s="189"/>
      <c r="JFH24" s="189"/>
      <c r="JFI24" s="189"/>
      <c r="JFJ24" s="189"/>
      <c r="JFK24" s="189"/>
      <c r="JFL24" s="189"/>
      <c r="JFM24" s="189"/>
      <c r="JFN24" s="189"/>
      <c r="JFO24" s="189"/>
      <c r="JFP24" s="189"/>
      <c r="JFQ24" s="189"/>
      <c r="JFR24" s="189"/>
      <c r="JFS24" s="189"/>
      <c r="JFT24" s="189"/>
      <c r="JFU24" s="189"/>
      <c r="JFV24" s="189"/>
      <c r="JFW24" s="189"/>
      <c r="JFX24" s="189"/>
      <c r="JFY24" s="189"/>
      <c r="JFZ24" s="189"/>
      <c r="JGA24" s="189"/>
      <c r="JGB24" s="189"/>
      <c r="JGC24" s="189"/>
      <c r="JGD24" s="189"/>
      <c r="JGE24" s="189"/>
      <c r="JGF24" s="189"/>
      <c r="JGG24" s="189"/>
      <c r="JGH24" s="189"/>
      <c r="JGI24" s="189"/>
      <c r="JGJ24" s="189"/>
      <c r="JGK24" s="189"/>
      <c r="JGL24" s="189"/>
      <c r="JGM24" s="189"/>
      <c r="JGN24" s="189"/>
      <c r="JGO24" s="189"/>
      <c r="JGP24" s="189"/>
      <c r="JGQ24" s="189"/>
      <c r="JGR24" s="189"/>
      <c r="JGS24" s="189"/>
      <c r="JGT24" s="189"/>
      <c r="JGU24" s="189"/>
      <c r="JGV24" s="189"/>
      <c r="JGW24" s="189"/>
      <c r="JGX24" s="189"/>
      <c r="JGY24" s="189"/>
      <c r="JGZ24" s="189"/>
      <c r="JHA24" s="189"/>
      <c r="JHB24" s="189"/>
      <c r="JHC24" s="189"/>
      <c r="JHD24" s="189"/>
      <c r="JHE24" s="189"/>
      <c r="JHF24" s="189"/>
      <c r="JHG24" s="189"/>
      <c r="JHH24" s="189"/>
      <c r="JHI24" s="189"/>
      <c r="JHJ24" s="189"/>
      <c r="JHK24" s="189"/>
      <c r="JHL24" s="189"/>
      <c r="JHM24" s="189"/>
      <c r="JHN24" s="189"/>
      <c r="JHO24" s="189"/>
      <c r="JHP24" s="189"/>
      <c r="JHQ24" s="189"/>
      <c r="JHR24" s="189"/>
      <c r="JHS24" s="189"/>
      <c r="JHT24" s="189"/>
      <c r="JHU24" s="189"/>
      <c r="JHV24" s="189"/>
      <c r="JHW24" s="189"/>
      <c r="JHX24" s="189"/>
      <c r="JHY24" s="189"/>
      <c r="JHZ24" s="189"/>
      <c r="JIA24" s="189"/>
      <c r="JIB24" s="189"/>
      <c r="JIC24" s="189"/>
      <c r="JID24" s="189"/>
      <c r="JIE24" s="189"/>
      <c r="JIF24" s="189"/>
      <c r="JIG24" s="189"/>
      <c r="JIH24" s="189"/>
      <c r="JII24" s="189"/>
      <c r="JIJ24" s="189"/>
      <c r="JIK24" s="189"/>
      <c r="JIL24" s="189"/>
      <c r="JIM24" s="189"/>
      <c r="JIN24" s="189"/>
      <c r="JIO24" s="189"/>
      <c r="JIP24" s="189"/>
      <c r="JIQ24" s="189"/>
      <c r="JIR24" s="189"/>
      <c r="JIS24" s="189"/>
      <c r="JIT24" s="189"/>
      <c r="JIU24" s="189"/>
      <c r="JIV24" s="189"/>
      <c r="JIW24" s="189"/>
      <c r="JIX24" s="189"/>
      <c r="JIY24" s="189"/>
      <c r="JIZ24" s="189"/>
      <c r="JJA24" s="189"/>
      <c r="JJB24" s="189"/>
      <c r="JJC24" s="189"/>
      <c r="JJD24" s="189"/>
      <c r="JJE24" s="189"/>
      <c r="JJF24" s="189"/>
      <c r="JJG24" s="189"/>
      <c r="JJH24" s="189"/>
      <c r="JJI24" s="189"/>
      <c r="JJJ24" s="189"/>
      <c r="JJK24" s="189"/>
      <c r="JJL24" s="189"/>
      <c r="JJM24" s="189"/>
      <c r="JJN24" s="189"/>
      <c r="JJO24" s="189"/>
      <c r="JJP24" s="189"/>
      <c r="JJQ24" s="189"/>
      <c r="JJR24" s="189"/>
      <c r="JJS24" s="189"/>
      <c r="JJT24" s="189"/>
      <c r="JJU24" s="189"/>
      <c r="JJV24" s="189"/>
      <c r="JJW24" s="189"/>
      <c r="JJX24" s="189"/>
      <c r="JJY24" s="189"/>
      <c r="JJZ24" s="189"/>
      <c r="JKA24" s="189"/>
      <c r="JKB24" s="189"/>
      <c r="JKC24" s="189"/>
      <c r="JKD24" s="189"/>
      <c r="JKE24" s="189"/>
      <c r="JKF24" s="189"/>
      <c r="JKG24" s="189"/>
      <c r="JKH24" s="189"/>
      <c r="JKI24" s="189"/>
      <c r="JKJ24" s="189"/>
      <c r="JKK24" s="189"/>
      <c r="JKL24" s="189"/>
      <c r="JKM24" s="189"/>
      <c r="JKN24" s="189"/>
      <c r="JKO24" s="189"/>
      <c r="JKP24" s="189"/>
      <c r="JKQ24" s="189"/>
      <c r="JKR24" s="189"/>
      <c r="JKS24" s="189"/>
      <c r="JKT24" s="189"/>
      <c r="JKU24" s="189"/>
      <c r="JKV24" s="189"/>
      <c r="JKW24" s="189"/>
      <c r="JKX24" s="189"/>
      <c r="JKY24" s="189"/>
      <c r="JKZ24" s="189"/>
      <c r="JLA24" s="189"/>
      <c r="JLB24" s="189"/>
      <c r="JLC24" s="189"/>
      <c r="JLD24" s="189"/>
      <c r="JLE24" s="189"/>
      <c r="JLF24" s="189"/>
      <c r="JLG24" s="189"/>
      <c r="JLH24" s="189"/>
      <c r="JLI24" s="189"/>
      <c r="JLJ24" s="189"/>
      <c r="JLK24" s="189"/>
      <c r="JLL24" s="189"/>
      <c r="JLM24" s="189"/>
      <c r="JLN24" s="189"/>
      <c r="JLO24" s="189"/>
      <c r="JLP24" s="189"/>
      <c r="JLQ24" s="189"/>
      <c r="JLR24" s="189"/>
      <c r="JLS24" s="189"/>
      <c r="JLT24" s="189"/>
      <c r="JLU24" s="189"/>
      <c r="JLV24" s="189"/>
      <c r="JLW24" s="189"/>
      <c r="JLX24" s="189"/>
      <c r="JLY24" s="189"/>
      <c r="JLZ24" s="189"/>
      <c r="JMA24" s="189"/>
      <c r="JMB24" s="189"/>
      <c r="JMC24" s="189"/>
      <c r="JMD24" s="189"/>
      <c r="JME24" s="189"/>
      <c r="JMF24" s="189"/>
      <c r="JMG24" s="189"/>
      <c r="JMH24" s="189"/>
      <c r="JMI24" s="189"/>
      <c r="JMJ24" s="189"/>
      <c r="JMK24" s="189"/>
      <c r="JML24" s="189"/>
      <c r="JMM24" s="189"/>
      <c r="JMN24" s="189"/>
      <c r="JMO24" s="189"/>
      <c r="JMP24" s="189"/>
      <c r="JMQ24" s="189"/>
      <c r="JMR24" s="189"/>
      <c r="JMS24" s="189"/>
      <c r="JMT24" s="189"/>
      <c r="JMU24" s="189"/>
      <c r="JMV24" s="189"/>
      <c r="JMW24" s="189"/>
      <c r="JMX24" s="189"/>
      <c r="JMY24" s="189"/>
      <c r="JMZ24" s="189"/>
      <c r="JNA24" s="189"/>
      <c r="JNB24" s="189"/>
      <c r="JNC24" s="189"/>
      <c r="JND24" s="189"/>
      <c r="JNE24" s="189"/>
      <c r="JNF24" s="189"/>
      <c r="JNG24" s="189"/>
      <c r="JNH24" s="189"/>
      <c r="JNI24" s="189"/>
      <c r="JNJ24" s="189"/>
      <c r="JNK24" s="189"/>
      <c r="JNL24" s="189"/>
      <c r="JNM24" s="189"/>
      <c r="JNN24" s="189"/>
      <c r="JNO24" s="189"/>
      <c r="JNP24" s="189"/>
      <c r="JNQ24" s="189"/>
      <c r="JNR24" s="189"/>
      <c r="JNS24" s="189"/>
      <c r="JNT24" s="189"/>
      <c r="JNU24" s="189"/>
      <c r="JNV24" s="189"/>
      <c r="JNW24" s="189"/>
      <c r="JNX24" s="189"/>
      <c r="JNY24" s="189"/>
      <c r="JNZ24" s="189"/>
      <c r="JOA24" s="189"/>
      <c r="JOB24" s="189"/>
      <c r="JOC24" s="189"/>
      <c r="JOD24" s="189"/>
      <c r="JOE24" s="189"/>
      <c r="JOF24" s="189"/>
      <c r="JOG24" s="189"/>
      <c r="JOH24" s="189"/>
      <c r="JOI24" s="189"/>
      <c r="JOJ24" s="189"/>
      <c r="JOK24" s="189"/>
      <c r="JOL24" s="189"/>
      <c r="JOM24" s="189"/>
      <c r="JON24" s="189"/>
      <c r="JOO24" s="189"/>
      <c r="JOP24" s="189"/>
      <c r="JOQ24" s="189"/>
      <c r="JOR24" s="189"/>
      <c r="JOS24" s="189"/>
      <c r="JOT24" s="189"/>
      <c r="JOU24" s="189"/>
      <c r="JOV24" s="189"/>
      <c r="JOW24" s="189"/>
      <c r="JOX24" s="189"/>
      <c r="JOY24" s="189"/>
      <c r="JOZ24" s="189"/>
      <c r="JPA24" s="189"/>
      <c r="JPB24" s="189"/>
      <c r="JPC24" s="189"/>
      <c r="JPD24" s="189"/>
      <c r="JPE24" s="189"/>
      <c r="JPF24" s="189"/>
      <c r="JPG24" s="189"/>
      <c r="JPH24" s="189"/>
      <c r="JPI24" s="189"/>
      <c r="JPJ24" s="189"/>
      <c r="JPK24" s="189"/>
      <c r="JPL24" s="189"/>
      <c r="JPM24" s="189"/>
      <c r="JPN24" s="189"/>
      <c r="JPO24" s="189"/>
      <c r="JPP24" s="189"/>
      <c r="JPQ24" s="189"/>
      <c r="JPR24" s="189"/>
      <c r="JPS24" s="189"/>
      <c r="JPT24" s="189"/>
      <c r="JPU24" s="189"/>
      <c r="JPV24" s="189"/>
      <c r="JPW24" s="189"/>
      <c r="JPX24" s="189"/>
      <c r="JPY24" s="189"/>
      <c r="JPZ24" s="189"/>
      <c r="JQA24" s="189"/>
      <c r="JQB24" s="189"/>
      <c r="JQC24" s="189"/>
      <c r="JQD24" s="189"/>
      <c r="JQE24" s="189"/>
      <c r="JQF24" s="189"/>
      <c r="JQG24" s="189"/>
      <c r="JQH24" s="189"/>
      <c r="JQI24" s="189"/>
      <c r="JQJ24" s="189"/>
      <c r="JQK24" s="189"/>
      <c r="JQL24" s="189"/>
      <c r="JQM24" s="189"/>
      <c r="JQN24" s="189"/>
      <c r="JQO24" s="189"/>
      <c r="JQP24" s="189"/>
      <c r="JQQ24" s="189"/>
      <c r="JQR24" s="189"/>
      <c r="JQS24" s="189"/>
      <c r="JQT24" s="189"/>
      <c r="JQU24" s="189"/>
      <c r="JQV24" s="189"/>
      <c r="JQW24" s="189"/>
      <c r="JQX24" s="189"/>
      <c r="JQY24" s="189"/>
      <c r="JQZ24" s="189"/>
      <c r="JRA24" s="189"/>
      <c r="JRB24" s="189"/>
      <c r="JRC24" s="189"/>
      <c r="JRD24" s="189"/>
      <c r="JRE24" s="189"/>
      <c r="JRF24" s="189"/>
      <c r="JRG24" s="189"/>
      <c r="JRH24" s="189"/>
      <c r="JRI24" s="189"/>
      <c r="JRJ24" s="189"/>
      <c r="JRK24" s="189"/>
      <c r="JRL24" s="189"/>
      <c r="JRM24" s="189"/>
      <c r="JRN24" s="189"/>
      <c r="JRO24" s="189"/>
      <c r="JRP24" s="189"/>
      <c r="JRQ24" s="189"/>
      <c r="JRR24" s="189"/>
      <c r="JRS24" s="189"/>
      <c r="JRT24" s="189"/>
      <c r="JRU24" s="189"/>
      <c r="JRV24" s="189"/>
      <c r="JRW24" s="189"/>
      <c r="JRX24" s="189"/>
      <c r="JRY24" s="189"/>
      <c r="JRZ24" s="189"/>
      <c r="JSA24" s="189"/>
      <c r="JSB24" s="189"/>
      <c r="JSC24" s="189"/>
      <c r="JSD24" s="189"/>
      <c r="JSE24" s="189"/>
      <c r="JSF24" s="189"/>
      <c r="JSG24" s="189"/>
      <c r="JSH24" s="189"/>
      <c r="JSI24" s="189"/>
      <c r="JSJ24" s="189"/>
      <c r="JSK24" s="189"/>
      <c r="JSL24" s="189"/>
      <c r="JSM24" s="189"/>
      <c r="JSN24" s="189"/>
      <c r="JSO24" s="189"/>
      <c r="JSP24" s="189"/>
      <c r="JSQ24" s="189"/>
      <c r="JSR24" s="189"/>
      <c r="JSS24" s="189"/>
      <c r="JST24" s="189"/>
      <c r="JSU24" s="189"/>
      <c r="JSV24" s="189"/>
      <c r="JSW24" s="189"/>
      <c r="JSX24" s="189"/>
      <c r="JSY24" s="189"/>
      <c r="JSZ24" s="189"/>
      <c r="JTA24" s="189"/>
      <c r="JTB24" s="189"/>
      <c r="JTC24" s="189"/>
      <c r="JTD24" s="189"/>
      <c r="JTE24" s="189"/>
      <c r="JTF24" s="189"/>
      <c r="JTG24" s="189"/>
      <c r="JTH24" s="189"/>
      <c r="JTI24" s="189"/>
      <c r="JTJ24" s="189"/>
      <c r="JTK24" s="189"/>
      <c r="JTL24" s="189"/>
      <c r="JTM24" s="189"/>
      <c r="JTN24" s="189"/>
      <c r="JTO24" s="189"/>
      <c r="JTP24" s="189"/>
      <c r="JTQ24" s="189"/>
      <c r="JTR24" s="189"/>
      <c r="JTS24" s="189"/>
      <c r="JTT24" s="189"/>
      <c r="JTU24" s="189"/>
      <c r="JTV24" s="189"/>
      <c r="JTW24" s="189"/>
      <c r="JTX24" s="189"/>
      <c r="JTY24" s="189"/>
      <c r="JTZ24" s="189"/>
      <c r="JUA24" s="189"/>
      <c r="JUB24" s="189"/>
      <c r="JUC24" s="189"/>
      <c r="JUD24" s="189"/>
      <c r="JUE24" s="189"/>
      <c r="JUF24" s="189"/>
      <c r="JUG24" s="189"/>
      <c r="JUH24" s="189"/>
      <c r="JUI24" s="189"/>
      <c r="JUJ24" s="189"/>
      <c r="JUK24" s="189"/>
      <c r="JUL24" s="189"/>
      <c r="JUM24" s="189"/>
      <c r="JUN24" s="189"/>
      <c r="JUO24" s="189"/>
      <c r="JUP24" s="189"/>
      <c r="JUQ24" s="189"/>
      <c r="JUR24" s="189"/>
      <c r="JUS24" s="189"/>
      <c r="JUT24" s="189"/>
      <c r="JUU24" s="189"/>
      <c r="JUV24" s="189"/>
      <c r="JUW24" s="189"/>
      <c r="JUX24" s="189"/>
      <c r="JUY24" s="189"/>
      <c r="JUZ24" s="189"/>
      <c r="JVA24" s="189"/>
      <c r="JVB24" s="189"/>
      <c r="JVC24" s="189"/>
      <c r="JVD24" s="189"/>
      <c r="JVE24" s="189"/>
      <c r="JVF24" s="189"/>
      <c r="JVG24" s="189"/>
      <c r="JVH24" s="189"/>
      <c r="JVI24" s="189"/>
      <c r="JVJ24" s="189"/>
      <c r="JVK24" s="189"/>
      <c r="JVL24" s="189"/>
      <c r="JVM24" s="189"/>
      <c r="JVN24" s="189"/>
      <c r="JVO24" s="189"/>
      <c r="JVP24" s="189"/>
      <c r="JVQ24" s="189"/>
      <c r="JVR24" s="189"/>
      <c r="JVS24" s="189"/>
      <c r="JVT24" s="189"/>
      <c r="JVU24" s="189"/>
      <c r="JVV24" s="189"/>
      <c r="JVW24" s="189"/>
      <c r="JVX24" s="189"/>
      <c r="JVY24" s="189"/>
      <c r="JVZ24" s="189"/>
      <c r="JWA24" s="189"/>
      <c r="JWB24" s="189"/>
      <c r="JWC24" s="189"/>
      <c r="JWD24" s="189"/>
      <c r="JWE24" s="189"/>
      <c r="JWF24" s="189"/>
      <c r="JWG24" s="189"/>
      <c r="JWH24" s="189"/>
      <c r="JWI24" s="189"/>
      <c r="JWJ24" s="189"/>
      <c r="JWK24" s="189"/>
      <c r="JWL24" s="189"/>
      <c r="JWM24" s="189"/>
      <c r="JWN24" s="189"/>
      <c r="JWO24" s="189"/>
      <c r="JWP24" s="189"/>
      <c r="JWQ24" s="189"/>
      <c r="JWR24" s="189"/>
      <c r="JWS24" s="189"/>
      <c r="JWT24" s="189"/>
      <c r="JWU24" s="189"/>
      <c r="JWV24" s="189"/>
      <c r="JWW24" s="189"/>
      <c r="JWX24" s="189"/>
      <c r="JWY24" s="189"/>
      <c r="JWZ24" s="189"/>
      <c r="JXA24" s="189"/>
      <c r="JXB24" s="189"/>
      <c r="JXC24" s="189"/>
      <c r="JXD24" s="189"/>
      <c r="JXE24" s="189"/>
      <c r="JXF24" s="189"/>
      <c r="JXG24" s="189"/>
      <c r="JXH24" s="189"/>
      <c r="JXI24" s="189"/>
      <c r="JXJ24" s="189"/>
      <c r="JXK24" s="189"/>
      <c r="JXL24" s="189"/>
      <c r="JXM24" s="189"/>
      <c r="JXN24" s="189"/>
      <c r="JXO24" s="189"/>
      <c r="JXP24" s="189"/>
      <c r="JXQ24" s="189"/>
      <c r="JXR24" s="189"/>
      <c r="JXS24" s="189"/>
      <c r="JXT24" s="189"/>
      <c r="JXU24" s="189"/>
      <c r="JXV24" s="189"/>
      <c r="JXW24" s="189"/>
      <c r="JXX24" s="189"/>
      <c r="JXY24" s="189"/>
      <c r="JXZ24" s="189"/>
      <c r="JYA24" s="189"/>
      <c r="JYB24" s="189"/>
      <c r="JYC24" s="189"/>
      <c r="JYD24" s="189"/>
      <c r="JYE24" s="189"/>
      <c r="JYF24" s="189"/>
      <c r="JYG24" s="189"/>
      <c r="JYH24" s="189"/>
      <c r="JYI24" s="189"/>
      <c r="JYJ24" s="189"/>
      <c r="JYK24" s="189"/>
      <c r="JYL24" s="189"/>
      <c r="JYM24" s="189"/>
      <c r="JYN24" s="189"/>
      <c r="JYO24" s="189"/>
      <c r="JYP24" s="189"/>
      <c r="JYQ24" s="189"/>
      <c r="JYR24" s="189"/>
      <c r="JYS24" s="189"/>
      <c r="JYT24" s="189"/>
      <c r="JYU24" s="189"/>
      <c r="JYV24" s="189"/>
      <c r="JYW24" s="189"/>
      <c r="JYX24" s="189"/>
      <c r="JYY24" s="189"/>
      <c r="JYZ24" s="189"/>
      <c r="JZA24" s="189"/>
      <c r="JZB24" s="189"/>
      <c r="JZC24" s="189"/>
      <c r="JZD24" s="189"/>
      <c r="JZE24" s="189"/>
      <c r="JZF24" s="189"/>
      <c r="JZG24" s="189"/>
      <c r="JZH24" s="189"/>
      <c r="JZI24" s="189"/>
      <c r="JZJ24" s="189"/>
      <c r="JZK24" s="189"/>
      <c r="JZL24" s="189"/>
      <c r="JZM24" s="189"/>
      <c r="JZN24" s="189"/>
      <c r="JZO24" s="189"/>
      <c r="JZP24" s="189"/>
      <c r="JZQ24" s="189"/>
      <c r="JZR24" s="189"/>
      <c r="JZS24" s="189"/>
      <c r="JZT24" s="189"/>
      <c r="JZU24" s="189"/>
      <c r="JZV24" s="189"/>
      <c r="JZW24" s="189"/>
      <c r="JZX24" s="189"/>
      <c r="JZY24" s="189"/>
      <c r="JZZ24" s="189"/>
      <c r="KAA24" s="189"/>
      <c r="KAB24" s="189"/>
      <c r="KAC24" s="189"/>
      <c r="KAD24" s="189"/>
      <c r="KAE24" s="189"/>
      <c r="KAF24" s="189"/>
      <c r="KAG24" s="189"/>
      <c r="KAH24" s="189"/>
      <c r="KAI24" s="189"/>
      <c r="KAJ24" s="189"/>
      <c r="KAK24" s="189"/>
      <c r="KAL24" s="189"/>
      <c r="KAM24" s="189"/>
      <c r="KAN24" s="189"/>
      <c r="KAO24" s="189"/>
      <c r="KAP24" s="189"/>
      <c r="KAQ24" s="189"/>
      <c r="KAR24" s="189"/>
      <c r="KAS24" s="189"/>
      <c r="KAT24" s="189"/>
      <c r="KAU24" s="189"/>
      <c r="KAV24" s="189"/>
      <c r="KAW24" s="189"/>
      <c r="KAX24" s="189"/>
      <c r="KAY24" s="189"/>
      <c r="KAZ24" s="189"/>
      <c r="KBA24" s="189"/>
      <c r="KBB24" s="189"/>
      <c r="KBC24" s="189"/>
      <c r="KBD24" s="189"/>
      <c r="KBE24" s="189"/>
      <c r="KBF24" s="189"/>
      <c r="KBG24" s="189"/>
      <c r="KBH24" s="189"/>
      <c r="KBI24" s="189"/>
      <c r="KBJ24" s="189"/>
      <c r="KBK24" s="189"/>
      <c r="KBL24" s="189"/>
      <c r="KBM24" s="189"/>
      <c r="KBN24" s="189"/>
      <c r="KBO24" s="189"/>
      <c r="KBP24" s="189"/>
      <c r="KBQ24" s="189"/>
      <c r="KBR24" s="189"/>
      <c r="KBS24" s="189"/>
      <c r="KBT24" s="189"/>
      <c r="KBU24" s="189"/>
      <c r="KBV24" s="189"/>
      <c r="KBW24" s="189"/>
      <c r="KBX24" s="189"/>
      <c r="KBY24" s="189"/>
      <c r="KBZ24" s="189"/>
      <c r="KCA24" s="189"/>
      <c r="KCB24" s="189"/>
      <c r="KCC24" s="189"/>
      <c r="KCD24" s="189"/>
      <c r="KCE24" s="189"/>
      <c r="KCF24" s="189"/>
      <c r="KCG24" s="189"/>
      <c r="KCH24" s="189"/>
      <c r="KCI24" s="189"/>
      <c r="KCJ24" s="189"/>
      <c r="KCK24" s="189"/>
      <c r="KCL24" s="189"/>
      <c r="KCM24" s="189"/>
      <c r="KCN24" s="189"/>
      <c r="KCO24" s="189"/>
      <c r="KCP24" s="189"/>
      <c r="KCQ24" s="189"/>
      <c r="KCR24" s="189"/>
      <c r="KCS24" s="189"/>
      <c r="KCT24" s="189"/>
      <c r="KCU24" s="189"/>
      <c r="KCV24" s="189"/>
      <c r="KCW24" s="189"/>
      <c r="KCX24" s="189"/>
      <c r="KCY24" s="189"/>
      <c r="KCZ24" s="189"/>
      <c r="KDA24" s="189"/>
      <c r="KDB24" s="189"/>
      <c r="KDC24" s="189"/>
      <c r="KDD24" s="189"/>
      <c r="KDE24" s="189"/>
      <c r="KDF24" s="189"/>
      <c r="KDG24" s="189"/>
      <c r="KDH24" s="189"/>
      <c r="KDI24" s="189"/>
      <c r="KDJ24" s="189"/>
      <c r="KDK24" s="189"/>
      <c r="KDL24" s="189"/>
      <c r="KDM24" s="189"/>
      <c r="KDN24" s="189"/>
      <c r="KDO24" s="189"/>
      <c r="KDP24" s="189"/>
      <c r="KDQ24" s="189"/>
      <c r="KDR24" s="189"/>
      <c r="KDS24" s="189"/>
      <c r="KDT24" s="189"/>
      <c r="KDU24" s="189"/>
      <c r="KDV24" s="189"/>
      <c r="KDW24" s="189"/>
      <c r="KDX24" s="189"/>
      <c r="KDY24" s="189"/>
      <c r="KDZ24" s="189"/>
      <c r="KEA24" s="189"/>
      <c r="KEB24" s="189"/>
      <c r="KEC24" s="189"/>
      <c r="KED24" s="189"/>
      <c r="KEE24" s="189"/>
      <c r="KEF24" s="189"/>
      <c r="KEG24" s="189"/>
      <c r="KEH24" s="189"/>
      <c r="KEI24" s="189"/>
      <c r="KEJ24" s="189"/>
      <c r="KEK24" s="189"/>
      <c r="KEL24" s="189"/>
      <c r="KEM24" s="189"/>
      <c r="KEN24" s="189"/>
      <c r="KEO24" s="189"/>
      <c r="KEP24" s="189"/>
      <c r="KEQ24" s="189"/>
      <c r="KER24" s="189"/>
      <c r="KES24" s="189"/>
      <c r="KET24" s="189"/>
      <c r="KEU24" s="189"/>
      <c r="KEV24" s="189"/>
      <c r="KEW24" s="189"/>
      <c r="KEX24" s="189"/>
      <c r="KEY24" s="189"/>
      <c r="KEZ24" s="189"/>
      <c r="KFA24" s="189"/>
      <c r="KFB24" s="189"/>
      <c r="KFC24" s="189"/>
      <c r="KFD24" s="189"/>
      <c r="KFE24" s="189"/>
      <c r="KFF24" s="189"/>
      <c r="KFG24" s="189"/>
      <c r="KFH24" s="189"/>
      <c r="KFI24" s="189"/>
      <c r="KFJ24" s="189"/>
      <c r="KFK24" s="189"/>
      <c r="KFL24" s="189"/>
      <c r="KFM24" s="189"/>
      <c r="KFN24" s="189"/>
      <c r="KFO24" s="189"/>
      <c r="KFP24" s="189"/>
      <c r="KFQ24" s="189"/>
      <c r="KFR24" s="189"/>
      <c r="KFS24" s="189"/>
      <c r="KFT24" s="189"/>
      <c r="KFU24" s="189"/>
      <c r="KFV24" s="189"/>
      <c r="KFW24" s="189"/>
      <c r="KFX24" s="189"/>
      <c r="KFY24" s="189"/>
      <c r="KFZ24" s="189"/>
      <c r="KGA24" s="189"/>
      <c r="KGB24" s="189"/>
      <c r="KGC24" s="189"/>
      <c r="KGD24" s="189"/>
      <c r="KGE24" s="189"/>
      <c r="KGF24" s="189"/>
      <c r="KGG24" s="189"/>
      <c r="KGH24" s="189"/>
      <c r="KGI24" s="189"/>
      <c r="KGJ24" s="189"/>
      <c r="KGK24" s="189"/>
      <c r="KGL24" s="189"/>
      <c r="KGM24" s="189"/>
      <c r="KGN24" s="189"/>
      <c r="KGO24" s="189"/>
      <c r="KGP24" s="189"/>
      <c r="KGQ24" s="189"/>
      <c r="KGR24" s="189"/>
      <c r="KGS24" s="189"/>
      <c r="KGT24" s="189"/>
      <c r="KGU24" s="189"/>
      <c r="KGV24" s="189"/>
      <c r="KGW24" s="189"/>
      <c r="KGX24" s="189"/>
      <c r="KGY24" s="189"/>
      <c r="KGZ24" s="189"/>
      <c r="KHA24" s="189"/>
      <c r="KHB24" s="189"/>
      <c r="KHC24" s="189"/>
      <c r="KHD24" s="189"/>
      <c r="KHE24" s="189"/>
      <c r="KHF24" s="189"/>
      <c r="KHG24" s="189"/>
      <c r="KHH24" s="189"/>
      <c r="KHI24" s="189"/>
      <c r="KHJ24" s="189"/>
      <c r="KHK24" s="189"/>
      <c r="KHL24" s="189"/>
      <c r="KHM24" s="189"/>
      <c r="KHN24" s="189"/>
      <c r="KHO24" s="189"/>
      <c r="KHP24" s="189"/>
      <c r="KHQ24" s="189"/>
      <c r="KHR24" s="189"/>
      <c r="KHS24" s="189"/>
      <c r="KHT24" s="189"/>
      <c r="KHU24" s="189"/>
      <c r="KHV24" s="189"/>
      <c r="KHW24" s="189"/>
      <c r="KHX24" s="189"/>
      <c r="KHY24" s="189"/>
      <c r="KHZ24" s="189"/>
      <c r="KIA24" s="189"/>
      <c r="KIB24" s="189"/>
      <c r="KIC24" s="189"/>
      <c r="KID24" s="189"/>
      <c r="KIE24" s="189"/>
      <c r="KIF24" s="189"/>
      <c r="KIG24" s="189"/>
      <c r="KIH24" s="189"/>
      <c r="KII24" s="189"/>
      <c r="KIJ24" s="189"/>
      <c r="KIK24" s="189"/>
      <c r="KIL24" s="189"/>
      <c r="KIM24" s="189"/>
      <c r="KIN24" s="189"/>
      <c r="KIO24" s="189"/>
      <c r="KIP24" s="189"/>
      <c r="KIQ24" s="189"/>
      <c r="KIR24" s="189"/>
      <c r="KIS24" s="189"/>
      <c r="KIT24" s="189"/>
      <c r="KIU24" s="189"/>
      <c r="KIV24" s="189"/>
      <c r="KIW24" s="189"/>
      <c r="KIX24" s="189"/>
      <c r="KIY24" s="189"/>
      <c r="KIZ24" s="189"/>
      <c r="KJA24" s="189"/>
      <c r="KJB24" s="189"/>
      <c r="KJC24" s="189"/>
      <c r="KJD24" s="189"/>
      <c r="KJE24" s="189"/>
      <c r="KJF24" s="189"/>
      <c r="KJG24" s="189"/>
      <c r="KJH24" s="189"/>
      <c r="KJI24" s="189"/>
      <c r="KJJ24" s="189"/>
      <c r="KJK24" s="189"/>
      <c r="KJL24" s="189"/>
      <c r="KJM24" s="189"/>
      <c r="KJN24" s="189"/>
      <c r="KJO24" s="189"/>
      <c r="KJP24" s="189"/>
      <c r="KJQ24" s="189"/>
      <c r="KJR24" s="189"/>
      <c r="KJS24" s="189"/>
      <c r="KJT24" s="189"/>
      <c r="KJU24" s="189"/>
      <c r="KJV24" s="189"/>
      <c r="KJW24" s="189"/>
      <c r="KJX24" s="189"/>
      <c r="KJY24" s="189"/>
      <c r="KJZ24" s="189"/>
      <c r="KKA24" s="189"/>
      <c r="KKB24" s="189"/>
      <c r="KKC24" s="189"/>
      <c r="KKD24" s="189"/>
      <c r="KKE24" s="189"/>
      <c r="KKF24" s="189"/>
      <c r="KKG24" s="189"/>
      <c r="KKH24" s="189"/>
      <c r="KKI24" s="189"/>
      <c r="KKJ24" s="189"/>
      <c r="KKK24" s="189"/>
      <c r="KKL24" s="189"/>
      <c r="KKM24" s="189"/>
      <c r="KKN24" s="189"/>
      <c r="KKO24" s="189"/>
      <c r="KKP24" s="189"/>
      <c r="KKQ24" s="189"/>
      <c r="KKR24" s="189"/>
      <c r="KKS24" s="189"/>
      <c r="KKT24" s="189"/>
      <c r="KKU24" s="189"/>
      <c r="KKV24" s="189"/>
      <c r="KKW24" s="189"/>
      <c r="KKX24" s="189"/>
      <c r="KKY24" s="189"/>
      <c r="KKZ24" s="189"/>
      <c r="KLA24" s="189"/>
      <c r="KLB24" s="189"/>
      <c r="KLC24" s="189"/>
      <c r="KLD24" s="189"/>
      <c r="KLE24" s="189"/>
      <c r="KLF24" s="189"/>
      <c r="KLG24" s="189"/>
      <c r="KLH24" s="189"/>
      <c r="KLI24" s="189"/>
      <c r="KLJ24" s="189"/>
      <c r="KLK24" s="189"/>
      <c r="KLL24" s="189"/>
      <c r="KLM24" s="189"/>
      <c r="KLN24" s="189"/>
      <c r="KLO24" s="189"/>
      <c r="KLP24" s="189"/>
      <c r="KLQ24" s="189"/>
      <c r="KLR24" s="189"/>
      <c r="KLS24" s="189"/>
      <c r="KLT24" s="189"/>
      <c r="KLU24" s="189"/>
      <c r="KLV24" s="189"/>
      <c r="KLW24" s="189"/>
      <c r="KLX24" s="189"/>
      <c r="KLY24" s="189"/>
      <c r="KLZ24" s="189"/>
      <c r="KMA24" s="189"/>
      <c r="KMB24" s="189"/>
      <c r="KMC24" s="189"/>
      <c r="KMD24" s="189"/>
      <c r="KME24" s="189"/>
      <c r="KMF24" s="189"/>
      <c r="KMG24" s="189"/>
      <c r="KMH24" s="189"/>
      <c r="KMI24" s="189"/>
      <c r="KMJ24" s="189"/>
      <c r="KMK24" s="189"/>
      <c r="KML24" s="189"/>
      <c r="KMM24" s="189"/>
      <c r="KMN24" s="189"/>
      <c r="KMO24" s="189"/>
      <c r="KMP24" s="189"/>
      <c r="KMQ24" s="189"/>
      <c r="KMR24" s="189"/>
      <c r="KMS24" s="189"/>
      <c r="KMT24" s="189"/>
      <c r="KMU24" s="189"/>
      <c r="KMV24" s="189"/>
      <c r="KMW24" s="189"/>
      <c r="KMX24" s="189"/>
      <c r="KMY24" s="189"/>
      <c r="KMZ24" s="189"/>
      <c r="KNA24" s="189"/>
      <c r="KNB24" s="189"/>
      <c r="KNC24" s="189"/>
      <c r="KND24" s="189"/>
      <c r="KNE24" s="189"/>
      <c r="KNF24" s="189"/>
      <c r="KNG24" s="189"/>
      <c r="KNH24" s="189"/>
      <c r="KNI24" s="189"/>
      <c r="KNJ24" s="189"/>
      <c r="KNK24" s="189"/>
      <c r="KNL24" s="189"/>
      <c r="KNM24" s="189"/>
      <c r="KNN24" s="189"/>
      <c r="KNO24" s="189"/>
      <c r="KNP24" s="189"/>
      <c r="KNQ24" s="189"/>
      <c r="KNR24" s="189"/>
      <c r="KNS24" s="189"/>
      <c r="KNT24" s="189"/>
      <c r="KNU24" s="189"/>
      <c r="KNV24" s="189"/>
      <c r="KNW24" s="189"/>
      <c r="KNX24" s="189"/>
      <c r="KNY24" s="189"/>
      <c r="KNZ24" s="189"/>
      <c r="KOA24" s="189"/>
      <c r="KOB24" s="189"/>
      <c r="KOC24" s="189"/>
      <c r="KOD24" s="189"/>
      <c r="KOE24" s="189"/>
      <c r="KOF24" s="189"/>
      <c r="KOG24" s="189"/>
      <c r="KOH24" s="189"/>
      <c r="KOI24" s="189"/>
      <c r="KOJ24" s="189"/>
      <c r="KOK24" s="189"/>
      <c r="KOL24" s="189"/>
      <c r="KOM24" s="189"/>
      <c r="KON24" s="189"/>
      <c r="KOO24" s="189"/>
      <c r="KOP24" s="189"/>
      <c r="KOQ24" s="189"/>
      <c r="KOR24" s="189"/>
      <c r="KOS24" s="189"/>
      <c r="KOT24" s="189"/>
      <c r="KOU24" s="189"/>
      <c r="KOV24" s="189"/>
      <c r="KOW24" s="189"/>
      <c r="KOX24" s="189"/>
      <c r="KOY24" s="189"/>
      <c r="KOZ24" s="189"/>
      <c r="KPA24" s="189"/>
      <c r="KPB24" s="189"/>
      <c r="KPC24" s="189"/>
      <c r="KPD24" s="189"/>
      <c r="KPE24" s="189"/>
      <c r="KPF24" s="189"/>
      <c r="KPG24" s="189"/>
      <c r="KPH24" s="189"/>
      <c r="KPI24" s="189"/>
      <c r="KPJ24" s="189"/>
      <c r="KPK24" s="189"/>
      <c r="KPL24" s="189"/>
      <c r="KPM24" s="189"/>
      <c r="KPN24" s="189"/>
      <c r="KPO24" s="189"/>
      <c r="KPP24" s="189"/>
      <c r="KPQ24" s="189"/>
      <c r="KPR24" s="189"/>
      <c r="KPS24" s="189"/>
      <c r="KPT24" s="189"/>
      <c r="KPU24" s="189"/>
      <c r="KPV24" s="189"/>
      <c r="KPW24" s="189"/>
      <c r="KPX24" s="189"/>
      <c r="KPY24" s="189"/>
      <c r="KPZ24" s="189"/>
      <c r="KQA24" s="189"/>
      <c r="KQB24" s="189"/>
      <c r="KQC24" s="189"/>
      <c r="KQD24" s="189"/>
      <c r="KQE24" s="189"/>
      <c r="KQF24" s="189"/>
      <c r="KQG24" s="189"/>
      <c r="KQH24" s="189"/>
      <c r="KQI24" s="189"/>
      <c r="KQJ24" s="189"/>
      <c r="KQK24" s="189"/>
      <c r="KQL24" s="189"/>
      <c r="KQM24" s="189"/>
      <c r="KQN24" s="189"/>
      <c r="KQO24" s="189"/>
      <c r="KQP24" s="189"/>
      <c r="KQQ24" s="189"/>
      <c r="KQR24" s="189"/>
      <c r="KQS24" s="189"/>
      <c r="KQT24" s="189"/>
      <c r="KQU24" s="189"/>
      <c r="KQV24" s="189"/>
      <c r="KQW24" s="189"/>
      <c r="KQX24" s="189"/>
      <c r="KQY24" s="189"/>
      <c r="KQZ24" s="189"/>
      <c r="KRA24" s="189"/>
      <c r="KRB24" s="189"/>
      <c r="KRC24" s="189"/>
      <c r="KRD24" s="189"/>
      <c r="KRE24" s="189"/>
      <c r="KRF24" s="189"/>
      <c r="KRG24" s="189"/>
      <c r="KRH24" s="189"/>
      <c r="KRI24" s="189"/>
      <c r="KRJ24" s="189"/>
      <c r="KRK24" s="189"/>
      <c r="KRL24" s="189"/>
      <c r="KRM24" s="189"/>
      <c r="KRN24" s="189"/>
      <c r="KRO24" s="189"/>
      <c r="KRP24" s="189"/>
      <c r="KRQ24" s="189"/>
      <c r="KRR24" s="189"/>
      <c r="KRS24" s="189"/>
      <c r="KRT24" s="189"/>
      <c r="KRU24" s="189"/>
      <c r="KRV24" s="189"/>
      <c r="KRW24" s="189"/>
      <c r="KRX24" s="189"/>
      <c r="KRY24" s="189"/>
      <c r="KRZ24" s="189"/>
      <c r="KSA24" s="189"/>
      <c r="KSB24" s="189"/>
      <c r="KSC24" s="189"/>
      <c r="KSD24" s="189"/>
      <c r="KSE24" s="189"/>
      <c r="KSF24" s="189"/>
      <c r="KSG24" s="189"/>
      <c r="KSH24" s="189"/>
      <c r="KSI24" s="189"/>
      <c r="KSJ24" s="189"/>
      <c r="KSK24" s="189"/>
      <c r="KSL24" s="189"/>
      <c r="KSM24" s="189"/>
      <c r="KSN24" s="189"/>
      <c r="KSO24" s="189"/>
      <c r="KSP24" s="189"/>
      <c r="KSQ24" s="189"/>
      <c r="KSR24" s="189"/>
      <c r="KSS24" s="189"/>
      <c r="KST24" s="189"/>
      <c r="KSU24" s="189"/>
      <c r="KSV24" s="189"/>
      <c r="KSW24" s="189"/>
      <c r="KSX24" s="189"/>
      <c r="KSY24" s="189"/>
      <c r="KSZ24" s="189"/>
      <c r="KTA24" s="189"/>
      <c r="KTB24" s="189"/>
      <c r="KTC24" s="189"/>
      <c r="KTD24" s="189"/>
      <c r="KTE24" s="189"/>
      <c r="KTF24" s="189"/>
      <c r="KTG24" s="189"/>
      <c r="KTH24" s="189"/>
      <c r="KTI24" s="189"/>
      <c r="KTJ24" s="189"/>
      <c r="KTK24" s="189"/>
      <c r="KTL24" s="189"/>
      <c r="KTM24" s="189"/>
      <c r="KTN24" s="189"/>
      <c r="KTO24" s="189"/>
      <c r="KTP24" s="189"/>
      <c r="KTQ24" s="189"/>
      <c r="KTR24" s="189"/>
      <c r="KTS24" s="189"/>
      <c r="KTT24" s="189"/>
      <c r="KTU24" s="189"/>
      <c r="KTV24" s="189"/>
      <c r="KTW24" s="189"/>
      <c r="KTX24" s="189"/>
      <c r="KTY24" s="189"/>
      <c r="KTZ24" s="189"/>
      <c r="KUA24" s="189"/>
      <c r="KUB24" s="189"/>
      <c r="KUC24" s="189"/>
      <c r="KUD24" s="189"/>
      <c r="KUE24" s="189"/>
      <c r="KUF24" s="189"/>
      <c r="KUG24" s="189"/>
      <c r="KUH24" s="189"/>
      <c r="KUI24" s="189"/>
      <c r="KUJ24" s="189"/>
      <c r="KUK24" s="189"/>
      <c r="KUL24" s="189"/>
      <c r="KUM24" s="189"/>
      <c r="KUN24" s="189"/>
      <c r="KUO24" s="189"/>
      <c r="KUP24" s="189"/>
      <c r="KUQ24" s="189"/>
      <c r="KUR24" s="189"/>
      <c r="KUS24" s="189"/>
      <c r="KUT24" s="189"/>
      <c r="KUU24" s="189"/>
      <c r="KUV24" s="189"/>
      <c r="KUW24" s="189"/>
      <c r="KUX24" s="189"/>
      <c r="KUY24" s="189"/>
      <c r="KUZ24" s="189"/>
      <c r="KVA24" s="189"/>
      <c r="KVB24" s="189"/>
      <c r="KVC24" s="189"/>
      <c r="KVD24" s="189"/>
      <c r="KVE24" s="189"/>
      <c r="KVF24" s="189"/>
      <c r="KVG24" s="189"/>
      <c r="KVH24" s="189"/>
      <c r="KVI24" s="189"/>
      <c r="KVJ24" s="189"/>
      <c r="KVK24" s="189"/>
      <c r="KVL24" s="189"/>
      <c r="KVM24" s="189"/>
      <c r="KVN24" s="189"/>
      <c r="KVO24" s="189"/>
      <c r="KVP24" s="189"/>
      <c r="KVQ24" s="189"/>
      <c r="KVR24" s="189"/>
      <c r="KVS24" s="189"/>
      <c r="KVT24" s="189"/>
      <c r="KVU24" s="189"/>
      <c r="KVV24" s="189"/>
      <c r="KVW24" s="189"/>
      <c r="KVX24" s="189"/>
      <c r="KVY24" s="189"/>
      <c r="KVZ24" s="189"/>
      <c r="KWA24" s="189"/>
      <c r="KWB24" s="189"/>
      <c r="KWC24" s="189"/>
      <c r="KWD24" s="189"/>
      <c r="KWE24" s="189"/>
      <c r="KWF24" s="189"/>
      <c r="KWG24" s="189"/>
      <c r="KWH24" s="189"/>
      <c r="KWI24" s="189"/>
      <c r="KWJ24" s="189"/>
      <c r="KWK24" s="189"/>
      <c r="KWL24" s="189"/>
      <c r="KWM24" s="189"/>
      <c r="KWN24" s="189"/>
      <c r="KWO24" s="189"/>
      <c r="KWP24" s="189"/>
      <c r="KWQ24" s="189"/>
      <c r="KWR24" s="189"/>
      <c r="KWS24" s="189"/>
      <c r="KWT24" s="189"/>
      <c r="KWU24" s="189"/>
      <c r="KWV24" s="189"/>
      <c r="KWW24" s="189"/>
      <c r="KWX24" s="189"/>
      <c r="KWY24" s="189"/>
      <c r="KWZ24" s="189"/>
      <c r="KXA24" s="189"/>
      <c r="KXB24" s="189"/>
      <c r="KXC24" s="189"/>
      <c r="KXD24" s="189"/>
      <c r="KXE24" s="189"/>
      <c r="KXF24" s="189"/>
      <c r="KXG24" s="189"/>
      <c r="KXH24" s="189"/>
      <c r="KXI24" s="189"/>
      <c r="KXJ24" s="189"/>
      <c r="KXK24" s="189"/>
      <c r="KXL24" s="189"/>
      <c r="KXM24" s="189"/>
      <c r="KXN24" s="189"/>
      <c r="KXO24" s="189"/>
      <c r="KXP24" s="189"/>
      <c r="KXQ24" s="189"/>
      <c r="KXR24" s="189"/>
      <c r="KXS24" s="189"/>
      <c r="KXT24" s="189"/>
      <c r="KXU24" s="189"/>
      <c r="KXV24" s="189"/>
      <c r="KXW24" s="189"/>
      <c r="KXX24" s="189"/>
      <c r="KXY24" s="189"/>
      <c r="KXZ24" s="189"/>
      <c r="KYA24" s="189"/>
      <c r="KYB24" s="189"/>
      <c r="KYC24" s="189"/>
      <c r="KYD24" s="189"/>
      <c r="KYE24" s="189"/>
      <c r="KYF24" s="189"/>
      <c r="KYG24" s="189"/>
      <c r="KYH24" s="189"/>
      <c r="KYI24" s="189"/>
      <c r="KYJ24" s="189"/>
      <c r="KYK24" s="189"/>
      <c r="KYL24" s="189"/>
      <c r="KYM24" s="189"/>
      <c r="KYN24" s="189"/>
      <c r="KYO24" s="189"/>
      <c r="KYP24" s="189"/>
      <c r="KYQ24" s="189"/>
      <c r="KYR24" s="189"/>
      <c r="KYS24" s="189"/>
      <c r="KYT24" s="189"/>
      <c r="KYU24" s="189"/>
      <c r="KYV24" s="189"/>
      <c r="KYW24" s="189"/>
      <c r="KYX24" s="189"/>
      <c r="KYY24" s="189"/>
      <c r="KYZ24" s="189"/>
      <c r="KZA24" s="189"/>
      <c r="KZB24" s="189"/>
      <c r="KZC24" s="189"/>
      <c r="KZD24" s="189"/>
      <c r="KZE24" s="189"/>
      <c r="KZF24" s="189"/>
      <c r="KZG24" s="189"/>
      <c r="KZH24" s="189"/>
      <c r="KZI24" s="189"/>
      <c r="KZJ24" s="189"/>
      <c r="KZK24" s="189"/>
      <c r="KZL24" s="189"/>
      <c r="KZM24" s="189"/>
      <c r="KZN24" s="189"/>
      <c r="KZO24" s="189"/>
      <c r="KZP24" s="189"/>
      <c r="KZQ24" s="189"/>
      <c r="KZR24" s="189"/>
      <c r="KZS24" s="189"/>
      <c r="KZT24" s="189"/>
      <c r="KZU24" s="189"/>
      <c r="KZV24" s="189"/>
      <c r="KZW24" s="189"/>
      <c r="KZX24" s="189"/>
      <c r="KZY24" s="189"/>
      <c r="KZZ24" s="189"/>
      <c r="LAA24" s="189"/>
      <c r="LAB24" s="189"/>
      <c r="LAC24" s="189"/>
      <c r="LAD24" s="189"/>
      <c r="LAE24" s="189"/>
      <c r="LAF24" s="189"/>
      <c r="LAG24" s="189"/>
      <c r="LAH24" s="189"/>
      <c r="LAI24" s="189"/>
      <c r="LAJ24" s="189"/>
      <c r="LAK24" s="189"/>
      <c r="LAL24" s="189"/>
      <c r="LAM24" s="189"/>
      <c r="LAN24" s="189"/>
      <c r="LAO24" s="189"/>
      <c r="LAP24" s="189"/>
      <c r="LAQ24" s="189"/>
      <c r="LAR24" s="189"/>
      <c r="LAS24" s="189"/>
      <c r="LAT24" s="189"/>
      <c r="LAU24" s="189"/>
      <c r="LAV24" s="189"/>
      <c r="LAW24" s="189"/>
      <c r="LAX24" s="189"/>
      <c r="LAY24" s="189"/>
      <c r="LAZ24" s="189"/>
      <c r="LBA24" s="189"/>
      <c r="LBB24" s="189"/>
      <c r="LBC24" s="189"/>
      <c r="LBD24" s="189"/>
      <c r="LBE24" s="189"/>
      <c r="LBF24" s="189"/>
      <c r="LBG24" s="189"/>
      <c r="LBH24" s="189"/>
      <c r="LBI24" s="189"/>
      <c r="LBJ24" s="189"/>
      <c r="LBK24" s="189"/>
      <c r="LBL24" s="189"/>
      <c r="LBM24" s="189"/>
      <c r="LBN24" s="189"/>
      <c r="LBO24" s="189"/>
      <c r="LBP24" s="189"/>
      <c r="LBQ24" s="189"/>
      <c r="LBR24" s="189"/>
      <c r="LBS24" s="189"/>
      <c r="LBT24" s="189"/>
      <c r="LBU24" s="189"/>
      <c r="LBV24" s="189"/>
      <c r="LBW24" s="189"/>
      <c r="LBX24" s="189"/>
      <c r="LBY24" s="189"/>
      <c r="LBZ24" s="189"/>
      <c r="LCA24" s="189"/>
      <c r="LCB24" s="189"/>
      <c r="LCC24" s="189"/>
      <c r="LCD24" s="189"/>
      <c r="LCE24" s="189"/>
      <c r="LCF24" s="189"/>
      <c r="LCG24" s="189"/>
      <c r="LCH24" s="189"/>
      <c r="LCI24" s="189"/>
      <c r="LCJ24" s="189"/>
      <c r="LCK24" s="189"/>
      <c r="LCL24" s="189"/>
      <c r="LCM24" s="189"/>
      <c r="LCN24" s="189"/>
      <c r="LCO24" s="189"/>
      <c r="LCP24" s="189"/>
      <c r="LCQ24" s="189"/>
      <c r="LCR24" s="189"/>
      <c r="LCS24" s="189"/>
      <c r="LCT24" s="189"/>
      <c r="LCU24" s="189"/>
      <c r="LCV24" s="189"/>
      <c r="LCW24" s="189"/>
      <c r="LCX24" s="189"/>
      <c r="LCY24" s="189"/>
      <c r="LCZ24" s="189"/>
      <c r="LDA24" s="189"/>
      <c r="LDB24" s="189"/>
      <c r="LDC24" s="189"/>
      <c r="LDD24" s="189"/>
      <c r="LDE24" s="189"/>
      <c r="LDF24" s="189"/>
      <c r="LDG24" s="189"/>
      <c r="LDH24" s="189"/>
      <c r="LDI24" s="189"/>
      <c r="LDJ24" s="189"/>
      <c r="LDK24" s="189"/>
      <c r="LDL24" s="189"/>
      <c r="LDM24" s="189"/>
      <c r="LDN24" s="189"/>
      <c r="LDO24" s="189"/>
      <c r="LDP24" s="189"/>
      <c r="LDQ24" s="189"/>
      <c r="LDR24" s="189"/>
      <c r="LDS24" s="189"/>
      <c r="LDT24" s="189"/>
      <c r="LDU24" s="189"/>
      <c r="LDV24" s="189"/>
      <c r="LDW24" s="189"/>
      <c r="LDX24" s="189"/>
      <c r="LDY24" s="189"/>
      <c r="LDZ24" s="189"/>
      <c r="LEA24" s="189"/>
      <c r="LEB24" s="189"/>
      <c r="LEC24" s="189"/>
      <c r="LED24" s="189"/>
      <c r="LEE24" s="189"/>
      <c r="LEF24" s="189"/>
      <c r="LEG24" s="189"/>
      <c r="LEH24" s="189"/>
      <c r="LEI24" s="189"/>
      <c r="LEJ24" s="189"/>
      <c r="LEK24" s="189"/>
      <c r="LEL24" s="189"/>
      <c r="LEM24" s="189"/>
      <c r="LEN24" s="189"/>
      <c r="LEO24" s="189"/>
      <c r="LEP24" s="189"/>
      <c r="LEQ24" s="189"/>
      <c r="LER24" s="189"/>
      <c r="LES24" s="189"/>
      <c r="LET24" s="189"/>
      <c r="LEU24" s="189"/>
      <c r="LEV24" s="189"/>
      <c r="LEW24" s="189"/>
      <c r="LEX24" s="189"/>
      <c r="LEY24" s="189"/>
      <c r="LEZ24" s="189"/>
      <c r="LFA24" s="189"/>
      <c r="LFB24" s="189"/>
      <c r="LFC24" s="189"/>
      <c r="LFD24" s="189"/>
      <c r="LFE24" s="189"/>
      <c r="LFF24" s="189"/>
      <c r="LFG24" s="189"/>
      <c r="LFH24" s="189"/>
      <c r="LFI24" s="189"/>
      <c r="LFJ24" s="189"/>
      <c r="LFK24" s="189"/>
      <c r="LFL24" s="189"/>
      <c r="LFM24" s="189"/>
      <c r="LFN24" s="189"/>
      <c r="LFO24" s="189"/>
      <c r="LFP24" s="189"/>
      <c r="LFQ24" s="189"/>
      <c r="LFR24" s="189"/>
      <c r="LFS24" s="189"/>
      <c r="LFT24" s="189"/>
      <c r="LFU24" s="189"/>
      <c r="LFV24" s="189"/>
      <c r="LFW24" s="189"/>
      <c r="LFX24" s="189"/>
      <c r="LFY24" s="189"/>
      <c r="LFZ24" s="189"/>
      <c r="LGA24" s="189"/>
      <c r="LGB24" s="189"/>
      <c r="LGC24" s="189"/>
      <c r="LGD24" s="189"/>
      <c r="LGE24" s="189"/>
      <c r="LGF24" s="189"/>
      <c r="LGG24" s="189"/>
      <c r="LGH24" s="189"/>
      <c r="LGI24" s="189"/>
      <c r="LGJ24" s="189"/>
      <c r="LGK24" s="189"/>
      <c r="LGL24" s="189"/>
      <c r="LGM24" s="189"/>
      <c r="LGN24" s="189"/>
      <c r="LGO24" s="189"/>
      <c r="LGP24" s="189"/>
      <c r="LGQ24" s="189"/>
      <c r="LGR24" s="189"/>
      <c r="LGS24" s="189"/>
      <c r="LGT24" s="189"/>
      <c r="LGU24" s="189"/>
      <c r="LGV24" s="189"/>
      <c r="LGW24" s="189"/>
      <c r="LGX24" s="189"/>
      <c r="LGY24" s="189"/>
      <c r="LGZ24" s="189"/>
      <c r="LHA24" s="189"/>
      <c r="LHB24" s="189"/>
      <c r="LHC24" s="189"/>
      <c r="LHD24" s="189"/>
      <c r="LHE24" s="189"/>
      <c r="LHF24" s="189"/>
      <c r="LHG24" s="189"/>
      <c r="LHH24" s="189"/>
      <c r="LHI24" s="189"/>
      <c r="LHJ24" s="189"/>
      <c r="LHK24" s="189"/>
      <c r="LHL24" s="189"/>
      <c r="LHM24" s="189"/>
      <c r="LHN24" s="189"/>
      <c r="LHO24" s="189"/>
      <c r="LHP24" s="189"/>
      <c r="LHQ24" s="189"/>
      <c r="LHR24" s="189"/>
      <c r="LHS24" s="189"/>
      <c r="LHT24" s="189"/>
      <c r="LHU24" s="189"/>
      <c r="LHV24" s="189"/>
      <c r="LHW24" s="189"/>
      <c r="LHX24" s="189"/>
      <c r="LHY24" s="189"/>
      <c r="LHZ24" s="189"/>
      <c r="LIA24" s="189"/>
      <c r="LIB24" s="189"/>
      <c r="LIC24" s="189"/>
      <c r="LID24" s="189"/>
      <c r="LIE24" s="189"/>
      <c r="LIF24" s="189"/>
      <c r="LIG24" s="189"/>
      <c r="LIH24" s="189"/>
      <c r="LII24" s="189"/>
      <c r="LIJ24" s="189"/>
      <c r="LIK24" s="189"/>
      <c r="LIL24" s="189"/>
      <c r="LIM24" s="189"/>
      <c r="LIN24" s="189"/>
      <c r="LIO24" s="189"/>
      <c r="LIP24" s="189"/>
      <c r="LIQ24" s="189"/>
      <c r="LIR24" s="189"/>
      <c r="LIS24" s="189"/>
      <c r="LIT24" s="189"/>
      <c r="LIU24" s="189"/>
      <c r="LIV24" s="189"/>
      <c r="LIW24" s="189"/>
      <c r="LIX24" s="189"/>
      <c r="LIY24" s="189"/>
      <c r="LIZ24" s="189"/>
      <c r="LJA24" s="189"/>
      <c r="LJB24" s="189"/>
      <c r="LJC24" s="189"/>
      <c r="LJD24" s="189"/>
      <c r="LJE24" s="189"/>
      <c r="LJF24" s="189"/>
      <c r="LJG24" s="189"/>
      <c r="LJH24" s="189"/>
      <c r="LJI24" s="189"/>
      <c r="LJJ24" s="189"/>
      <c r="LJK24" s="189"/>
      <c r="LJL24" s="189"/>
      <c r="LJM24" s="189"/>
      <c r="LJN24" s="189"/>
      <c r="LJO24" s="189"/>
      <c r="LJP24" s="189"/>
      <c r="LJQ24" s="189"/>
      <c r="LJR24" s="189"/>
      <c r="LJS24" s="189"/>
      <c r="LJT24" s="189"/>
      <c r="LJU24" s="189"/>
      <c r="LJV24" s="189"/>
      <c r="LJW24" s="189"/>
      <c r="LJX24" s="189"/>
      <c r="LJY24" s="189"/>
      <c r="LJZ24" s="189"/>
      <c r="LKA24" s="189"/>
      <c r="LKB24" s="189"/>
      <c r="LKC24" s="189"/>
      <c r="LKD24" s="189"/>
      <c r="LKE24" s="189"/>
      <c r="LKF24" s="189"/>
      <c r="LKG24" s="189"/>
      <c r="LKH24" s="189"/>
      <c r="LKI24" s="189"/>
      <c r="LKJ24" s="189"/>
      <c r="LKK24" s="189"/>
      <c r="LKL24" s="189"/>
      <c r="LKM24" s="189"/>
      <c r="LKN24" s="189"/>
      <c r="LKO24" s="189"/>
      <c r="LKP24" s="189"/>
      <c r="LKQ24" s="189"/>
      <c r="LKR24" s="189"/>
      <c r="LKS24" s="189"/>
      <c r="LKT24" s="189"/>
      <c r="LKU24" s="189"/>
      <c r="LKV24" s="189"/>
      <c r="LKW24" s="189"/>
      <c r="LKX24" s="189"/>
      <c r="LKY24" s="189"/>
      <c r="LKZ24" s="189"/>
      <c r="LLA24" s="189"/>
      <c r="LLB24" s="189"/>
      <c r="LLC24" s="189"/>
      <c r="LLD24" s="189"/>
      <c r="LLE24" s="189"/>
      <c r="LLF24" s="189"/>
      <c r="LLG24" s="189"/>
      <c r="LLH24" s="189"/>
      <c r="LLI24" s="189"/>
      <c r="LLJ24" s="189"/>
      <c r="LLK24" s="189"/>
      <c r="LLL24" s="189"/>
      <c r="LLM24" s="189"/>
      <c r="LLN24" s="189"/>
      <c r="LLO24" s="189"/>
      <c r="LLP24" s="189"/>
      <c r="LLQ24" s="189"/>
      <c r="LLR24" s="189"/>
      <c r="LLS24" s="189"/>
      <c r="LLT24" s="189"/>
      <c r="LLU24" s="189"/>
      <c r="LLV24" s="189"/>
      <c r="LLW24" s="189"/>
      <c r="LLX24" s="189"/>
      <c r="LLY24" s="189"/>
      <c r="LLZ24" s="189"/>
      <c r="LMA24" s="189"/>
      <c r="LMB24" s="189"/>
      <c r="LMC24" s="189"/>
      <c r="LMD24" s="189"/>
      <c r="LME24" s="189"/>
      <c r="LMF24" s="189"/>
      <c r="LMG24" s="189"/>
      <c r="LMH24" s="189"/>
      <c r="LMI24" s="189"/>
      <c r="LMJ24" s="189"/>
      <c r="LMK24" s="189"/>
      <c r="LML24" s="189"/>
      <c r="LMM24" s="189"/>
      <c r="LMN24" s="189"/>
      <c r="LMO24" s="189"/>
      <c r="LMP24" s="189"/>
      <c r="LMQ24" s="189"/>
      <c r="LMR24" s="189"/>
      <c r="LMS24" s="189"/>
      <c r="LMT24" s="189"/>
      <c r="LMU24" s="189"/>
      <c r="LMV24" s="189"/>
      <c r="LMW24" s="189"/>
      <c r="LMX24" s="189"/>
      <c r="LMY24" s="189"/>
      <c r="LMZ24" s="189"/>
      <c r="LNA24" s="189"/>
      <c r="LNB24" s="189"/>
      <c r="LNC24" s="189"/>
      <c r="LND24" s="189"/>
      <c r="LNE24" s="189"/>
      <c r="LNF24" s="189"/>
      <c r="LNG24" s="189"/>
      <c r="LNH24" s="189"/>
      <c r="LNI24" s="189"/>
      <c r="LNJ24" s="189"/>
      <c r="LNK24" s="189"/>
      <c r="LNL24" s="189"/>
      <c r="LNM24" s="189"/>
      <c r="LNN24" s="189"/>
      <c r="LNO24" s="189"/>
      <c r="LNP24" s="189"/>
      <c r="LNQ24" s="189"/>
      <c r="LNR24" s="189"/>
      <c r="LNS24" s="189"/>
      <c r="LNT24" s="189"/>
      <c r="LNU24" s="189"/>
      <c r="LNV24" s="189"/>
      <c r="LNW24" s="189"/>
      <c r="LNX24" s="189"/>
      <c r="LNY24" s="189"/>
      <c r="LNZ24" s="189"/>
      <c r="LOA24" s="189"/>
      <c r="LOB24" s="189"/>
      <c r="LOC24" s="189"/>
      <c r="LOD24" s="189"/>
      <c r="LOE24" s="189"/>
      <c r="LOF24" s="189"/>
      <c r="LOG24" s="189"/>
      <c r="LOH24" s="189"/>
      <c r="LOI24" s="189"/>
      <c r="LOJ24" s="189"/>
      <c r="LOK24" s="189"/>
      <c r="LOL24" s="189"/>
      <c r="LOM24" s="189"/>
      <c r="LON24" s="189"/>
      <c r="LOO24" s="189"/>
      <c r="LOP24" s="189"/>
      <c r="LOQ24" s="189"/>
      <c r="LOR24" s="189"/>
      <c r="LOS24" s="189"/>
      <c r="LOT24" s="189"/>
      <c r="LOU24" s="189"/>
      <c r="LOV24" s="189"/>
      <c r="LOW24" s="189"/>
      <c r="LOX24" s="189"/>
      <c r="LOY24" s="189"/>
      <c r="LOZ24" s="189"/>
      <c r="LPA24" s="189"/>
      <c r="LPB24" s="189"/>
      <c r="LPC24" s="189"/>
      <c r="LPD24" s="189"/>
      <c r="LPE24" s="189"/>
      <c r="LPF24" s="189"/>
      <c r="LPG24" s="189"/>
      <c r="LPH24" s="189"/>
      <c r="LPI24" s="189"/>
      <c r="LPJ24" s="189"/>
      <c r="LPK24" s="189"/>
      <c r="LPL24" s="189"/>
      <c r="LPM24" s="189"/>
      <c r="LPN24" s="189"/>
      <c r="LPO24" s="189"/>
      <c r="LPP24" s="189"/>
      <c r="LPQ24" s="189"/>
      <c r="LPR24" s="189"/>
      <c r="LPS24" s="189"/>
      <c r="LPT24" s="189"/>
      <c r="LPU24" s="189"/>
      <c r="LPV24" s="189"/>
      <c r="LPW24" s="189"/>
      <c r="LPX24" s="189"/>
      <c r="LPY24" s="189"/>
      <c r="LPZ24" s="189"/>
      <c r="LQA24" s="189"/>
      <c r="LQB24" s="189"/>
      <c r="LQC24" s="189"/>
      <c r="LQD24" s="189"/>
      <c r="LQE24" s="189"/>
      <c r="LQF24" s="189"/>
      <c r="LQG24" s="189"/>
      <c r="LQH24" s="189"/>
      <c r="LQI24" s="189"/>
      <c r="LQJ24" s="189"/>
      <c r="LQK24" s="189"/>
      <c r="LQL24" s="189"/>
      <c r="LQM24" s="189"/>
      <c r="LQN24" s="189"/>
      <c r="LQO24" s="189"/>
      <c r="LQP24" s="189"/>
      <c r="LQQ24" s="189"/>
      <c r="LQR24" s="189"/>
      <c r="LQS24" s="189"/>
      <c r="LQT24" s="189"/>
      <c r="LQU24" s="189"/>
      <c r="LQV24" s="189"/>
      <c r="LQW24" s="189"/>
      <c r="LQX24" s="189"/>
      <c r="LQY24" s="189"/>
      <c r="LQZ24" s="189"/>
      <c r="LRA24" s="189"/>
      <c r="LRB24" s="189"/>
      <c r="LRC24" s="189"/>
      <c r="LRD24" s="189"/>
      <c r="LRE24" s="189"/>
      <c r="LRF24" s="189"/>
      <c r="LRG24" s="189"/>
      <c r="LRH24" s="189"/>
      <c r="LRI24" s="189"/>
      <c r="LRJ24" s="189"/>
      <c r="LRK24" s="189"/>
      <c r="LRL24" s="189"/>
      <c r="LRM24" s="189"/>
      <c r="LRN24" s="189"/>
      <c r="LRO24" s="189"/>
      <c r="LRP24" s="189"/>
      <c r="LRQ24" s="189"/>
      <c r="LRR24" s="189"/>
      <c r="LRS24" s="189"/>
      <c r="LRT24" s="189"/>
      <c r="LRU24" s="189"/>
      <c r="LRV24" s="189"/>
      <c r="LRW24" s="189"/>
      <c r="LRX24" s="189"/>
      <c r="LRY24" s="189"/>
      <c r="LRZ24" s="189"/>
      <c r="LSA24" s="189"/>
      <c r="LSB24" s="189"/>
      <c r="LSC24" s="189"/>
      <c r="LSD24" s="189"/>
      <c r="LSE24" s="189"/>
      <c r="LSF24" s="189"/>
      <c r="LSG24" s="189"/>
      <c r="LSH24" s="189"/>
      <c r="LSI24" s="189"/>
      <c r="LSJ24" s="189"/>
      <c r="LSK24" s="189"/>
      <c r="LSL24" s="189"/>
      <c r="LSM24" s="189"/>
      <c r="LSN24" s="189"/>
      <c r="LSO24" s="189"/>
      <c r="LSP24" s="189"/>
      <c r="LSQ24" s="189"/>
      <c r="LSR24" s="189"/>
      <c r="LSS24" s="189"/>
      <c r="LST24" s="189"/>
      <c r="LSU24" s="189"/>
      <c r="LSV24" s="189"/>
      <c r="LSW24" s="189"/>
      <c r="LSX24" s="189"/>
      <c r="LSY24" s="189"/>
      <c r="LSZ24" s="189"/>
      <c r="LTA24" s="189"/>
      <c r="LTB24" s="189"/>
      <c r="LTC24" s="189"/>
      <c r="LTD24" s="189"/>
      <c r="LTE24" s="189"/>
      <c r="LTF24" s="189"/>
      <c r="LTG24" s="189"/>
      <c r="LTH24" s="189"/>
      <c r="LTI24" s="189"/>
      <c r="LTJ24" s="189"/>
      <c r="LTK24" s="189"/>
      <c r="LTL24" s="189"/>
      <c r="LTM24" s="189"/>
      <c r="LTN24" s="189"/>
      <c r="LTO24" s="189"/>
      <c r="LTP24" s="189"/>
      <c r="LTQ24" s="189"/>
      <c r="LTR24" s="189"/>
      <c r="LTS24" s="189"/>
      <c r="LTT24" s="189"/>
      <c r="LTU24" s="189"/>
      <c r="LTV24" s="189"/>
      <c r="LTW24" s="189"/>
      <c r="LTX24" s="189"/>
      <c r="LTY24" s="189"/>
      <c r="LTZ24" s="189"/>
      <c r="LUA24" s="189"/>
      <c r="LUB24" s="189"/>
      <c r="LUC24" s="189"/>
      <c r="LUD24" s="189"/>
      <c r="LUE24" s="189"/>
      <c r="LUF24" s="189"/>
      <c r="LUG24" s="189"/>
      <c r="LUH24" s="189"/>
      <c r="LUI24" s="189"/>
      <c r="LUJ24" s="189"/>
      <c r="LUK24" s="189"/>
      <c r="LUL24" s="189"/>
      <c r="LUM24" s="189"/>
      <c r="LUN24" s="189"/>
      <c r="LUO24" s="189"/>
      <c r="LUP24" s="189"/>
      <c r="LUQ24" s="189"/>
      <c r="LUR24" s="189"/>
      <c r="LUS24" s="189"/>
      <c r="LUT24" s="189"/>
      <c r="LUU24" s="189"/>
      <c r="LUV24" s="189"/>
      <c r="LUW24" s="189"/>
      <c r="LUX24" s="189"/>
      <c r="LUY24" s="189"/>
      <c r="LUZ24" s="189"/>
      <c r="LVA24" s="189"/>
      <c r="LVB24" s="189"/>
      <c r="LVC24" s="189"/>
      <c r="LVD24" s="189"/>
      <c r="LVE24" s="189"/>
      <c r="LVF24" s="189"/>
      <c r="LVG24" s="189"/>
      <c r="LVH24" s="189"/>
      <c r="LVI24" s="189"/>
      <c r="LVJ24" s="189"/>
      <c r="LVK24" s="189"/>
      <c r="LVL24" s="189"/>
      <c r="LVM24" s="189"/>
      <c r="LVN24" s="189"/>
      <c r="LVO24" s="189"/>
      <c r="LVP24" s="189"/>
      <c r="LVQ24" s="189"/>
      <c r="LVR24" s="189"/>
      <c r="LVS24" s="189"/>
      <c r="LVT24" s="189"/>
      <c r="LVU24" s="189"/>
      <c r="LVV24" s="189"/>
      <c r="LVW24" s="189"/>
      <c r="LVX24" s="189"/>
      <c r="LVY24" s="189"/>
      <c r="LVZ24" s="189"/>
      <c r="LWA24" s="189"/>
      <c r="LWB24" s="189"/>
      <c r="LWC24" s="189"/>
      <c r="LWD24" s="189"/>
      <c r="LWE24" s="189"/>
      <c r="LWF24" s="189"/>
      <c r="LWG24" s="189"/>
      <c r="LWH24" s="189"/>
      <c r="LWI24" s="189"/>
      <c r="LWJ24" s="189"/>
      <c r="LWK24" s="189"/>
      <c r="LWL24" s="189"/>
      <c r="LWM24" s="189"/>
      <c r="LWN24" s="189"/>
      <c r="LWO24" s="189"/>
      <c r="LWP24" s="189"/>
      <c r="LWQ24" s="189"/>
      <c r="LWR24" s="189"/>
      <c r="LWS24" s="189"/>
      <c r="LWT24" s="189"/>
      <c r="LWU24" s="189"/>
      <c r="LWV24" s="189"/>
      <c r="LWW24" s="189"/>
      <c r="LWX24" s="189"/>
      <c r="LWY24" s="189"/>
      <c r="LWZ24" s="189"/>
      <c r="LXA24" s="189"/>
      <c r="LXB24" s="189"/>
      <c r="LXC24" s="189"/>
      <c r="LXD24" s="189"/>
      <c r="LXE24" s="189"/>
      <c r="LXF24" s="189"/>
      <c r="LXG24" s="189"/>
      <c r="LXH24" s="189"/>
      <c r="LXI24" s="189"/>
      <c r="LXJ24" s="189"/>
      <c r="LXK24" s="189"/>
      <c r="LXL24" s="189"/>
      <c r="LXM24" s="189"/>
      <c r="LXN24" s="189"/>
      <c r="LXO24" s="189"/>
      <c r="LXP24" s="189"/>
      <c r="LXQ24" s="189"/>
      <c r="LXR24" s="189"/>
      <c r="LXS24" s="189"/>
      <c r="LXT24" s="189"/>
      <c r="LXU24" s="189"/>
      <c r="LXV24" s="189"/>
      <c r="LXW24" s="189"/>
      <c r="LXX24" s="189"/>
      <c r="LXY24" s="189"/>
      <c r="LXZ24" s="189"/>
      <c r="LYA24" s="189"/>
      <c r="LYB24" s="189"/>
      <c r="LYC24" s="189"/>
      <c r="LYD24" s="189"/>
      <c r="LYE24" s="189"/>
      <c r="LYF24" s="189"/>
      <c r="LYG24" s="189"/>
      <c r="LYH24" s="189"/>
      <c r="LYI24" s="189"/>
      <c r="LYJ24" s="189"/>
      <c r="LYK24" s="189"/>
      <c r="LYL24" s="189"/>
      <c r="LYM24" s="189"/>
      <c r="LYN24" s="189"/>
      <c r="LYO24" s="189"/>
      <c r="LYP24" s="189"/>
      <c r="LYQ24" s="189"/>
      <c r="LYR24" s="189"/>
      <c r="LYS24" s="189"/>
      <c r="LYT24" s="189"/>
      <c r="LYU24" s="189"/>
      <c r="LYV24" s="189"/>
      <c r="LYW24" s="189"/>
      <c r="LYX24" s="189"/>
      <c r="LYY24" s="189"/>
      <c r="LYZ24" s="189"/>
      <c r="LZA24" s="189"/>
      <c r="LZB24" s="189"/>
      <c r="LZC24" s="189"/>
      <c r="LZD24" s="189"/>
      <c r="LZE24" s="189"/>
      <c r="LZF24" s="189"/>
      <c r="LZG24" s="189"/>
      <c r="LZH24" s="189"/>
      <c r="LZI24" s="189"/>
      <c r="LZJ24" s="189"/>
      <c r="LZK24" s="189"/>
      <c r="LZL24" s="189"/>
      <c r="LZM24" s="189"/>
      <c r="LZN24" s="189"/>
      <c r="LZO24" s="189"/>
      <c r="LZP24" s="189"/>
      <c r="LZQ24" s="189"/>
      <c r="LZR24" s="189"/>
      <c r="LZS24" s="189"/>
      <c r="LZT24" s="189"/>
      <c r="LZU24" s="189"/>
      <c r="LZV24" s="189"/>
      <c r="LZW24" s="189"/>
      <c r="LZX24" s="189"/>
      <c r="LZY24" s="189"/>
      <c r="LZZ24" s="189"/>
      <c r="MAA24" s="189"/>
      <c r="MAB24" s="189"/>
      <c r="MAC24" s="189"/>
      <c r="MAD24" s="189"/>
      <c r="MAE24" s="189"/>
      <c r="MAF24" s="189"/>
      <c r="MAG24" s="189"/>
      <c r="MAH24" s="189"/>
      <c r="MAI24" s="189"/>
      <c r="MAJ24" s="189"/>
      <c r="MAK24" s="189"/>
      <c r="MAL24" s="189"/>
      <c r="MAM24" s="189"/>
      <c r="MAN24" s="189"/>
      <c r="MAO24" s="189"/>
      <c r="MAP24" s="189"/>
      <c r="MAQ24" s="189"/>
      <c r="MAR24" s="189"/>
      <c r="MAS24" s="189"/>
      <c r="MAT24" s="189"/>
      <c r="MAU24" s="189"/>
      <c r="MAV24" s="189"/>
      <c r="MAW24" s="189"/>
      <c r="MAX24" s="189"/>
      <c r="MAY24" s="189"/>
      <c r="MAZ24" s="189"/>
      <c r="MBA24" s="189"/>
      <c r="MBB24" s="189"/>
      <c r="MBC24" s="189"/>
      <c r="MBD24" s="189"/>
      <c r="MBE24" s="189"/>
      <c r="MBF24" s="189"/>
      <c r="MBG24" s="189"/>
      <c r="MBH24" s="189"/>
      <c r="MBI24" s="189"/>
      <c r="MBJ24" s="189"/>
      <c r="MBK24" s="189"/>
      <c r="MBL24" s="189"/>
      <c r="MBM24" s="189"/>
      <c r="MBN24" s="189"/>
      <c r="MBO24" s="189"/>
      <c r="MBP24" s="189"/>
      <c r="MBQ24" s="189"/>
      <c r="MBR24" s="189"/>
      <c r="MBS24" s="189"/>
      <c r="MBT24" s="189"/>
      <c r="MBU24" s="189"/>
      <c r="MBV24" s="189"/>
      <c r="MBW24" s="189"/>
      <c r="MBX24" s="189"/>
      <c r="MBY24" s="189"/>
      <c r="MBZ24" s="189"/>
      <c r="MCA24" s="189"/>
      <c r="MCB24" s="189"/>
      <c r="MCC24" s="189"/>
      <c r="MCD24" s="189"/>
      <c r="MCE24" s="189"/>
      <c r="MCF24" s="189"/>
      <c r="MCG24" s="189"/>
      <c r="MCH24" s="189"/>
      <c r="MCI24" s="189"/>
      <c r="MCJ24" s="189"/>
      <c r="MCK24" s="189"/>
      <c r="MCL24" s="189"/>
      <c r="MCM24" s="189"/>
      <c r="MCN24" s="189"/>
      <c r="MCO24" s="189"/>
      <c r="MCP24" s="189"/>
      <c r="MCQ24" s="189"/>
      <c r="MCR24" s="189"/>
      <c r="MCS24" s="189"/>
      <c r="MCT24" s="189"/>
      <c r="MCU24" s="189"/>
      <c r="MCV24" s="189"/>
      <c r="MCW24" s="189"/>
      <c r="MCX24" s="189"/>
      <c r="MCY24" s="189"/>
      <c r="MCZ24" s="189"/>
      <c r="MDA24" s="189"/>
      <c r="MDB24" s="189"/>
      <c r="MDC24" s="189"/>
      <c r="MDD24" s="189"/>
      <c r="MDE24" s="189"/>
      <c r="MDF24" s="189"/>
      <c r="MDG24" s="189"/>
      <c r="MDH24" s="189"/>
      <c r="MDI24" s="189"/>
      <c r="MDJ24" s="189"/>
      <c r="MDK24" s="189"/>
      <c r="MDL24" s="189"/>
      <c r="MDM24" s="189"/>
      <c r="MDN24" s="189"/>
      <c r="MDO24" s="189"/>
      <c r="MDP24" s="189"/>
      <c r="MDQ24" s="189"/>
      <c r="MDR24" s="189"/>
      <c r="MDS24" s="189"/>
      <c r="MDT24" s="189"/>
      <c r="MDU24" s="189"/>
      <c r="MDV24" s="189"/>
      <c r="MDW24" s="189"/>
      <c r="MDX24" s="189"/>
      <c r="MDY24" s="189"/>
      <c r="MDZ24" s="189"/>
      <c r="MEA24" s="189"/>
      <c r="MEB24" s="189"/>
      <c r="MEC24" s="189"/>
      <c r="MED24" s="189"/>
      <c r="MEE24" s="189"/>
      <c r="MEF24" s="189"/>
      <c r="MEG24" s="189"/>
      <c r="MEH24" s="189"/>
      <c r="MEI24" s="189"/>
      <c r="MEJ24" s="189"/>
      <c r="MEK24" s="189"/>
      <c r="MEL24" s="189"/>
      <c r="MEM24" s="189"/>
      <c r="MEN24" s="189"/>
      <c r="MEO24" s="189"/>
      <c r="MEP24" s="189"/>
      <c r="MEQ24" s="189"/>
      <c r="MER24" s="189"/>
      <c r="MES24" s="189"/>
      <c r="MET24" s="189"/>
      <c r="MEU24" s="189"/>
      <c r="MEV24" s="189"/>
      <c r="MEW24" s="189"/>
      <c r="MEX24" s="189"/>
      <c r="MEY24" s="189"/>
      <c r="MEZ24" s="189"/>
      <c r="MFA24" s="189"/>
      <c r="MFB24" s="189"/>
      <c r="MFC24" s="189"/>
      <c r="MFD24" s="189"/>
      <c r="MFE24" s="189"/>
      <c r="MFF24" s="189"/>
      <c r="MFG24" s="189"/>
      <c r="MFH24" s="189"/>
      <c r="MFI24" s="189"/>
      <c r="MFJ24" s="189"/>
      <c r="MFK24" s="189"/>
      <c r="MFL24" s="189"/>
      <c r="MFM24" s="189"/>
      <c r="MFN24" s="189"/>
      <c r="MFO24" s="189"/>
      <c r="MFP24" s="189"/>
      <c r="MFQ24" s="189"/>
      <c r="MFR24" s="189"/>
      <c r="MFS24" s="189"/>
      <c r="MFT24" s="189"/>
      <c r="MFU24" s="189"/>
      <c r="MFV24" s="189"/>
      <c r="MFW24" s="189"/>
      <c r="MFX24" s="189"/>
      <c r="MFY24" s="189"/>
      <c r="MFZ24" s="189"/>
      <c r="MGA24" s="189"/>
      <c r="MGB24" s="189"/>
      <c r="MGC24" s="189"/>
      <c r="MGD24" s="189"/>
      <c r="MGE24" s="189"/>
      <c r="MGF24" s="189"/>
      <c r="MGG24" s="189"/>
      <c r="MGH24" s="189"/>
      <c r="MGI24" s="189"/>
      <c r="MGJ24" s="189"/>
      <c r="MGK24" s="189"/>
      <c r="MGL24" s="189"/>
      <c r="MGM24" s="189"/>
      <c r="MGN24" s="189"/>
      <c r="MGO24" s="189"/>
      <c r="MGP24" s="189"/>
      <c r="MGQ24" s="189"/>
      <c r="MGR24" s="189"/>
      <c r="MGS24" s="189"/>
      <c r="MGT24" s="189"/>
      <c r="MGU24" s="189"/>
      <c r="MGV24" s="189"/>
      <c r="MGW24" s="189"/>
      <c r="MGX24" s="189"/>
      <c r="MGY24" s="189"/>
      <c r="MGZ24" s="189"/>
      <c r="MHA24" s="189"/>
      <c r="MHB24" s="189"/>
      <c r="MHC24" s="189"/>
      <c r="MHD24" s="189"/>
      <c r="MHE24" s="189"/>
      <c r="MHF24" s="189"/>
      <c r="MHG24" s="189"/>
      <c r="MHH24" s="189"/>
      <c r="MHI24" s="189"/>
      <c r="MHJ24" s="189"/>
      <c r="MHK24" s="189"/>
      <c r="MHL24" s="189"/>
      <c r="MHM24" s="189"/>
      <c r="MHN24" s="189"/>
      <c r="MHO24" s="189"/>
      <c r="MHP24" s="189"/>
      <c r="MHQ24" s="189"/>
      <c r="MHR24" s="189"/>
      <c r="MHS24" s="189"/>
      <c r="MHT24" s="189"/>
      <c r="MHU24" s="189"/>
      <c r="MHV24" s="189"/>
      <c r="MHW24" s="189"/>
      <c r="MHX24" s="189"/>
      <c r="MHY24" s="189"/>
      <c r="MHZ24" s="189"/>
      <c r="MIA24" s="189"/>
      <c r="MIB24" s="189"/>
      <c r="MIC24" s="189"/>
      <c r="MID24" s="189"/>
      <c r="MIE24" s="189"/>
      <c r="MIF24" s="189"/>
      <c r="MIG24" s="189"/>
      <c r="MIH24" s="189"/>
      <c r="MII24" s="189"/>
      <c r="MIJ24" s="189"/>
      <c r="MIK24" s="189"/>
      <c r="MIL24" s="189"/>
      <c r="MIM24" s="189"/>
      <c r="MIN24" s="189"/>
      <c r="MIO24" s="189"/>
      <c r="MIP24" s="189"/>
      <c r="MIQ24" s="189"/>
      <c r="MIR24" s="189"/>
      <c r="MIS24" s="189"/>
      <c r="MIT24" s="189"/>
      <c r="MIU24" s="189"/>
      <c r="MIV24" s="189"/>
      <c r="MIW24" s="189"/>
      <c r="MIX24" s="189"/>
      <c r="MIY24" s="189"/>
      <c r="MIZ24" s="189"/>
      <c r="MJA24" s="189"/>
      <c r="MJB24" s="189"/>
      <c r="MJC24" s="189"/>
      <c r="MJD24" s="189"/>
      <c r="MJE24" s="189"/>
      <c r="MJF24" s="189"/>
      <c r="MJG24" s="189"/>
      <c r="MJH24" s="189"/>
      <c r="MJI24" s="189"/>
      <c r="MJJ24" s="189"/>
      <c r="MJK24" s="189"/>
      <c r="MJL24" s="189"/>
      <c r="MJM24" s="189"/>
      <c r="MJN24" s="189"/>
      <c r="MJO24" s="189"/>
      <c r="MJP24" s="189"/>
      <c r="MJQ24" s="189"/>
      <c r="MJR24" s="189"/>
      <c r="MJS24" s="189"/>
      <c r="MJT24" s="189"/>
      <c r="MJU24" s="189"/>
      <c r="MJV24" s="189"/>
      <c r="MJW24" s="189"/>
      <c r="MJX24" s="189"/>
      <c r="MJY24" s="189"/>
      <c r="MJZ24" s="189"/>
      <c r="MKA24" s="189"/>
      <c r="MKB24" s="189"/>
      <c r="MKC24" s="189"/>
      <c r="MKD24" s="189"/>
      <c r="MKE24" s="189"/>
      <c r="MKF24" s="189"/>
      <c r="MKG24" s="189"/>
      <c r="MKH24" s="189"/>
      <c r="MKI24" s="189"/>
      <c r="MKJ24" s="189"/>
      <c r="MKK24" s="189"/>
      <c r="MKL24" s="189"/>
      <c r="MKM24" s="189"/>
      <c r="MKN24" s="189"/>
      <c r="MKO24" s="189"/>
      <c r="MKP24" s="189"/>
      <c r="MKQ24" s="189"/>
      <c r="MKR24" s="189"/>
      <c r="MKS24" s="189"/>
      <c r="MKT24" s="189"/>
      <c r="MKU24" s="189"/>
      <c r="MKV24" s="189"/>
      <c r="MKW24" s="189"/>
      <c r="MKX24" s="189"/>
      <c r="MKY24" s="189"/>
      <c r="MKZ24" s="189"/>
      <c r="MLA24" s="189"/>
      <c r="MLB24" s="189"/>
      <c r="MLC24" s="189"/>
      <c r="MLD24" s="189"/>
      <c r="MLE24" s="189"/>
      <c r="MLF24" s="189"/>
      <c r="MLG24" s="189"/>
      <c r="MLH24" s="189"/>
      <c r="MLI24" s="189"/>
      <c r="MLJ24" s="189"/>
      <c r="MLK24" s="189"/>
      <c r="MLL24" s="189"/>
      <c r="MLM24" s="189"/>
      <c r="MLN24" s="189"/>
      <c r="MLO24" s="189"/>
      <c r="MLP24" s="189"/>
      <c r="MLQ24" s="189"/>
      <c r="MLR24" s="189"/>
      <c r="MLS24" s="189"/>
      <c r="MLT24" s="189"/>
      <c r="MLU24" s="189"/>
      <c r="MLV24" s="189"/>
      <c r="MLW24" s="189"/>
      <c r="MLX24" s="189"/>
      <c r="MLY24" s="189"/>
      <c r="MLZ24" s="189"/>
      <c r="MMA24" s="189"/>
      <c r="MMB24" s="189"/>
      <c r="MMC24" s="189"/>
      <c r="MMD24" s="189"/>
      <c r="MME24" s="189"/>
      <c r="MMF24" s="189"/>
      <c r="MMG24" s="189"/>
      <c r="MMH24" s="189"/>
      <c r="MMI24" s="189"/>
      <c r="MMJ24" s="189"/>
      <c r="MMK24" s="189"/>
      <c r="MML24" s="189"/>
      <c r="MMM24" s="189"/>
      <c r="MMN24" s="189"/>
      <c r="MMO24" s="189"/>
      <c r="MMP24" s="189"/>
      <c r="MMQ24" s="189"/>
      <c r="MMR24" s="189"/>
      <c r="MMS24" s="189"/>
      <c r="MMT24" s="189"/>
      <c r="MMU24" s="189"/>
      <c r="MMV24" s="189"/>
      <c r="MMW24" s="189"/>
      <c r="MMX24" s="189"/>
      <c r="MMY24" s="189"/>
      <c r="MMZ24" s="189"/>
      <c r="MNA24" s="189"/>
      <c r="MNB24" s="189"/>
      <c r="MNC24" s="189"/>
      <c r="MND24" s="189"/>
      <c r="MNE24" s="189"/>
      <c r="MNF24" s="189"/>
      <c r="MNG24" s="189"/>
      <c r="MNH24" s="189"/>
      <c r="MNI24" s="189"/>
      <c r="MNJ24" s="189"/>
      <c r="MNK24" s="189"/>
      <c r="MNL24" s="189"/>
      <c r="MNM24" s="189"/>
      <c r="MNN24" s="189"/>
      <c r="MNO24" s="189"/>
      <c r="MNP24" s="189"/>
      <c r="MNQ24" s="189"/>
      <c r="MNR24" s="189"/>
      <c r="MNS24" s="189"/>
      <c r="MNT24" s="189"/>
      <c r="MNU24" s="189"/>
      <c r="MNV24" s="189"/>
      <c r="MNW24" s="189"/>
      <c r="MNX24" s="189"/>
      <c r="MNY24" s="189"/>
      <c r="MNZ24" s="189"/>
      <c r="MOA24" s="189"/>
      <c r="MOB24" s="189"/>
      <c r="MOC24" s="189"/>
      <c r="MOD24" s="189"/>
      <c r="MOE24" s="189"/>
      <c r="MOF24" s="189"/>
      <c r="MOG24" s="189"/>
      <c r="MOH24" s="189"/>
      <c r="MOI24" s="189"/>
      <c r="MOJ24" s="189"/>
      <c r="MOK24" s="189"/>
      <c r="MOL24" s="189"/>
      <c r="MOM24" s="189"/>
      <c r="MON24" s="189"/>
      <c r="MOO24" s="189"/>
      <c r="MOP24" s="189"/>
      <c r="MOQ24" s="189"/>
      <c r="MOR24" s="189"/>
      <c r="MOS24" s="189"/>
      <c r="MOT24" s="189"/>
      <c r="MOU24" s="189"/>
      <c r="MOV24" s="189"/>
      <c r="MOW24" s="189"/>
      <c r="MOX24" s="189"/>
      <c r="MOY24" s="189"/>
      <c r="MOZ24" s="189"/>
      <c r="MPA24" s="189"/>
      <c r="MPB24" s="189"/>
      <c r="MPC24" s="189"/>
      <c r="MPD24" s="189"/>
      <c r="MPE24" s="189"/>
      <c r="MPF24" s="189"/>
      <c r="MPG24" s="189"/>
      <c r="MPH24" s="189"/>
      <c r="MPI24" s="189"/>
      <c r="MPJ24" s="189"/>
      <c r="MPK24" s="189"/>
      <c r="MPL24" s="189"/>
      <c r="MPM24" s="189"/>
      <c r="MPN24" s="189"/>
      <c r="MPO24" s="189"/>
      <c r="MPP24" s="189"/>
      <c r="MPQ24" s="189"/>
      <c r="MPR24" s="189"/>
      <c r="MPS24" s="189"/>
      <c r="MPT24" s="189"/>
      <c r="MPU24" s="189"/>
      <c r="MPV24" s="189"/>
      <c r="MPW24" s="189"/>
      <c r="MPX24" s="189"/>
      <c r="MPY24" s="189"/>
      <c r="MPZ24" s="189"/>
      <c r="MQA24" s="189"/>
      <c r="MQB24" s="189"/>
      <c r="MQC24" s="189"/>
      <c r="MQD24" s="189"/>
      <c r="MQE24" s="189"/>
      <c r="MQF24" s="189"/>
      <c r="MQG24" s="189"/>
      <c r="MQH24" s="189"/>
      <c r="MQI24" s="189"/>
      <c r="MQJ24" s="189"/>
      <c r="MQK24" s="189"/>
      <c r="MQL24" s="189"/>
      <c r="MQM24" s="189"/>
      <c r="MQN24" s="189"/>
      <c r="MQO24" s="189"/>
      <c r="MQP24" s="189"/>
      <c r="MQQ24" s="189"/>
      <c r="MQR24" s="189"/>
      <c r="MQS24" s="189"/>
      <c r="MQT24" s="189"/>
      <c r="MQU24" s="189"/>
      <c r="MQV24" s="189"/>
      <c r="MQW24" s="189"/>
      <c r="MQX24" s="189"/>
      <c r="MQY24" s="189"/>
      <c r="MQZ24" s="189"/>
      <c r="MRA24" s="189"/>
      <c r="MRB24" s="189"/>
      <c r="MRC24" s="189"/>
      <c r="MRD24" s="189"/>
      <c r="MRE24" s="189"/>
      <c r="MRF24" s="189"/>
      <c r="MRG24" s="189"/>
      <c r="MRH24" s="189"/>
      <c r="MRI24" s="189"/>
      <c r="MRJ24" s="189"/>
      <c r="MRK24" s="189"/>
      <c r="MRL24" s="189"/>
      <c r="MRM24" s="189"/>
      <c r="MRN24" s="189"/>
      <c r="MRO24" s="189"/>
      <c r="MRP24" s="189"/>
      <c r="MRQ24" s="189"/>
      <c r="MRR24" s="189"/>
      <c r="MRS24" s="189"/>
      <c r="MRT24" s="189"/>
      <c r="MRU24" s="189"/>
      <c r="MRV24" s="189"/>
      <c r="MRW24" s="189"/>
      <c r="MRX24" s="189"/>
      <c r="MRY24" s="189"/>
      <c r="MRZ24" s="189"/>
      <c r="MSA24" s="189"/>
      <c r="MSB24" s="189"/>
      <c r="MSC24" s="189"/>
      <c r="MSD24" s="189"/>
      <c r="MSE24" s="189"/>
      <c r="MSF24" s="189"/>
      <c r="MSG24" s="189"/>
      <c r="MSH24" s="189"/>
      <c r="MSI24" s="189"/>
      <c r="MSJ24" s="189"/>
      <c r="MSK24" s="189"/>
      <c r="MSL24" s="189"/>
      <c r="MSM24" s="189"/>
      <c r="MSN24" s="189"/>
      <c r="MSO24" s="189"/>
      <c r="MSP24" s="189"/>
      <c r="MSQ24" s="189"/>
      <c r="MSR24" s="189"/>
      <c r="MSS24" s="189"/>
      <c r="MST24" s="189"/>
      <c r="MSU24" s="189"/>
      <c r="MSV24" s="189"/>
      <c r="MSW24" s="189"/>
      <c r="MSX24" s="189"/>
      <c r="MSY24" s="189"/>
      <c r="MSZ24" s="189"/>
      <c r="MTA24" s="189"/>
      <c r="MTB24" s="189"/>
      <c r="MTC24" s="189"/>
      <c r="MTD24" s="189"/>
      <c r="MTE24" s="189"/>
      <c r="MTF24" s="189"/>
      <c r="MTG24" s="189"/>
      <c r="MTH24" s="189"/>
      <c r="MTI24" s="189"/>
      <c r="MTJ24" s="189"/>
      <c r="MTK24" s="189"/>
      <c r="MTL24" s="189"/>
      <c r="MTM24" s="189"/>
      <c r="MTN24" s="189"/>
      <c r="MTO24" s="189"/>
      <c r="MTP24" s="189"/>
      <c r="MTQ24" s="189"/>
      <c r="MTR24" s="189"/>
      <c r="MTS24" s="189"/>
      <c r="MTT24" s="189"/>
      <c r="MTU24" s="189"/>
      <c r="MTV24" s="189"/>
      <c r="MTW24" s="189"/>
      <c r="MTX24" s="189"/>
      <c r="MTY24" s="189"/>
      <c r="MTZ24" s="189"/>
      <c r="MUA24" s="189"/>
      <c r="MUB24" s="189"/>
      <c r="MUC24" s="189"/>
      <c r="MUD24" s="189"/>
      <c r="MUE24" s="189"/>
      <c r="MUF24" s="189"/>
      <c r="MUG24" s="189"/>
      <c r="MUH24" s="189"/>
      <c r="MUI24" s="189"/>
      <c r="MUJ24" s="189"/>
      <c r="MUK24" s="189"/>
      <c r="MUL24" s="189"/>
      <c r="MUM24" s="189"/>
      <c r="MUN24" s="189"/>
      <c r="MUO24" s="189"/>
      <c r="MUP24" s="189"/>
      <c r="MUQ24" s="189"/>
      <c r="MUR24" s="189"/>
      <c r="MUS24" s="189"/>
      <c r="MUT24" s="189"/>
      <c r="MUU24" s="189"/>
      <c r="MUV24" s="189"/>
      <c r="MUW24" s="189"/>
      <c r="MUX24" s="189"/>
      <c r="MUY24" s="189"/>
      <c r="MUZ24" s="189"/>
      <c r="MVA24" s="189"/>
      <c r="MVB24" s="189"/>
      <c r="MVC24" s="189"/>
      <c r="MVD24" s="189"/>
      <c r="MVE24" s="189"/>
      <c r="MVF24" s="189"/>
      <c r="MVG24" s="189"/>
      <c r="MVH24" s="189"/>
      <c r="MVI24" s="189"/>
      <c r="MVJ24" s="189"/>
      <c r="MVK24" s="189"/>
      <c r="MVL24" s="189"/>
      <c r="MVM24" s="189"/>
      <c r="MVN24" s="189"/>
      <c r="MVO24" s="189"/>
      <c r="MVP24" s="189"/>
      <c r="MVQ24" s="189"/>
      <c r="MVR24" s="189"/>
      <c r="MVS24" s="189"/>
      <c r="MVT24" s="189"/>
      <c r="MVU24" s="189"/>
      <c r="MVV24" s="189"/>
      <c r="MVW24" s="189"/>
      <c r="MVX24" s="189"/>
      <c r="MVY24" s="189"/>
      <c r="MVZ24" s="189"/>
      <c r="MWA24" s="189"/>
      <c r="MWB24" s="189"/>
      <c r="MWC24" s="189"/>
      <c r="MWD24" s="189"/>
      <c r="MWE24" s="189"/>
      <c r="MWF24" s="189"/>
      <c r="MWG24" s="189"/>
      <c r="MWH24" s="189"/>
      <c r="MWI24" s="189"/>
      <c r="MWJ24" s="189"/>
      <c r="MWK24" s="189"/>
      <c r="MWL24" s="189"/>
      <c r="MWM24" s="189"/>
      <c r="MWN24" s="189"/>
      <c r="MWO24" s="189"/>
      <c r="MWP24" s="189"/>
      <c r="MWQ24" s="189"/>
      <c r="MWR24" s="189"/>
      <c r="MWS24" s="189"/>
      <c r="MWT24" s="189"/>
      <c r="MWU24" s="189"/>
      <c r="MWV24" s="189"/>
      <c r="MWW24" s="189"/>
      <c r="MWX24" s="189"/>
      <c r="MWY24" s="189"/>
      <c r="MWZ24" s="189"/>
      <c r="MXA24" s="189"/>
      <c r="MXB24" s="189"/>
      <c r="MXC24" s="189"/>
      <c r="MXD24" s="189"/>
      <c r="MXE24" s="189"/>
      <c r="MXF24" s="189"/>
      <c r="MXG24" s="189"/>
      <c r="MXH24" s="189"/>
      <c r="MXI24" s="189"/>
      <c r="MXJ24" s="189"/>
      <c r="MXK24" s="189"/>
      <c r="MXL24" s="189"/>
      <c r="MXM24" s="189"/>
      <c r="MXN24" s="189"/>
      <c r="MXO24" s="189"/>
      <c r="MXP24" s="189"/>
      <c r="MXQ24" s="189"/>
      <c r="MXR24" s="189"/>
      <c r="MXS24" s="189"/>
      <c r="MXT24" s="189"/>
      <c r="MXU24" s="189"/>
      <c r="MXV24" s="189"/>
      <c r="MXW24" s="189"/>
      <c r="MXX24" s="189"/>
      <c r="MXY24" s="189"/>
      <c r="MXZ24" s="189"/>
      <c r="MYA24" s="189"/>
      <c r="MYB24" s="189"/>
      <c r="MYC24" s="189"/>
      <c r="MYD24" s="189"/>
      <c r="MYE24" s="189"/>
      <c r="MYF24" s="189"/>
      <c r="MYG24" s="189"/>
      <c r="MYH24" s="189"/>
      <c r="MYI24" s="189"/>
      <c r="MYJ24" s="189"/>
      <c r="MYK24" s="189"/>
      <c r="MYL24" s="189"/>
      <c r="MYM24" s="189"/>
      <c r="MYN24" s="189"/>
      <c r="MYO24" s="189"/>
      <c r="MYP24" s="189"/>
      <c r="MYQ24" s="189"/>
      <c r="MYR24" s="189"/>
      <c r="MYS24" s="189"/>
      <c r="MYT24" s="189"/>
      <c r="MYU24" s="189"/>
      <c r="MYV24" s="189"/>
      <c r="MYW24" s="189"/>
      <c r="MYX24" s="189"/>
      <c r="MYY24" s="189"/>
      <c r="MYZ24" s="189"/>
      <c r="MZA24" s="189"/>
      <c r="MZB24" s="189"/>
      <c r="MZC24" s="189"/>
      <c r="MZD24" s="189"/>
      <c r="MZE24" s="189"/>
      <c r="MZF24" s="189"/>
      <c r="MZG24" s="189"/>
      <c r="MZH24" s="189"/>
      <c r="MZI24" s="189"/>
      <c r="MZJ24" s="189"/>
      <c r="MZK24" s="189"/>
      <c r="MZL24" s="189"/>
      <c r="MZM24" s="189"/>
      <c r="MZN24" s="189"/>
      <c r="MZO24" s="189"/>
      <c r="MZP24" s="189"/>
      <c r="MZQ24" s="189"/>
      <c r="MZR24" s="189"/>
      <c r="MZS24" s="189"/>
      <c r="MZT24" s="189"/>
      <c r="MZU24" s="189"/>
      <c r="MZV24" s="189"/>
      <c r="MZW24" s="189"/>
      <c r="MZX24" s="189"/>
      <c r="MZY24" s="189"/>
      <c r="MZZ24" s="189"/>
      <c r="NAA24" s="189"/>
      <c r="NAB24" s="189"/>
      <c r="NAC24" s="189"/>
      <c r="NAD24" s="189"/>
      <c r="NAE24" s="189"/>
      <c r="NAF24" s="189"/>
      <c r="NAG24" s="189"/>
      <c r="NAH24" s="189"/>
      <c r="NAI24" s="189"/>
      <c r="NAJ24" s="189"/>
      <c r="NAK24" s="189"/>
      <c r="NAL24" s="189"/>
      <c r="NAM24" s="189"/>
      <c r="NAN24" s="189"/>
      <c r="NAO24" s="189"/>
      <c r="NAP24" s="189"/>
      <c r="NAQ24" s="189"/>
      <c r="NAR24" s="189"/>
      <c r="NAS24" s="189"/>
      <c r="NAT24" s="189"/>
      <c r="NAU24" s="189"/>
      <c r="NAV24" s="189"/>
      <c r="NAW24" s="189"/>
      <c r="NAX24" s="189"/>
      <c r="NAY24" s="189"/>
      <c r="NAZ24" s="189"/>
      <c r="NBA24" s="189"/>
      <c r="NBB24" s="189"/>
      <c r="NBC24" s="189"/>
      <c r="NBD24" s="189"/>
      <c r="NBE24" s="189"/>
      <c r="NBF24" s="189"/>
      <c r="NBG24" s="189"/>
      <c r="NBH24" s="189"/>
      <c r="NBI24" s="189"/>
      <c r="NBJ24" s="189"/>
      <c r="NBK24" s="189"/>
      <c r="NBL24" s="189"/>
      <c r="NBM24" s="189"/>
      <c r="NBN24" s="189"/>
      <c r="NBO24" s="189"/>
      <c r="NBP24" s="189"/>
      <c r="NBQ24" s="189"/>
      <c r="NBR24" s="189"/>
      <c r="NBS24" s="189"/>
      <c r="NBT24" s="189"/>
      <c r="NBU24" s="189"/>
      <c r="NBV24" s="189"/>
      <c r="NBW24" s="189"/>
      <c r="NBX24" s="189"/>
      <c r="NBY24" s="189"/>
      <c r="NBZ24" s="189"/>
      <c r="NCA24" s="189"/>
      <c r="NCB24" s="189"/>
      <c r="NCC24" s="189"/>
      <c r="NCD24" s="189"/>
      <c r="NCE24" s="189"/>
      <c r="NCF24" s="189"/>
      <c r="NCG24" s="189"/>
      <c r="NCH24" s="189"/>
      <c r="NCI24" s="189"/>
      <c r="NCJ24" s="189"/>
      <c r="NCK24" s="189"/>
      <c r="NCL24" s="189"/>
      <c r="NCM24" s="189"/>
      <c r="NCN24" s="189"/>
      <c r="NCO24" s="189"/>
      <c r="NCP24" s="189"/>
      <c r="NCQ24" s="189"/>
      <c r="NCR24" s="189"/>
      <c r="NCS24" s="189"/>
      <c r="NCT24" s="189"/>
      <c r="NCU24" s="189"/>
      <c r="NCV24" s="189"/>
      <c r="NCW24" s="189"/>
      <c r="NCX24" s="189"/>
      <c r="NCY24" s="189"/>
      <c r="NCZ24" s="189"/>
      <c r="NDA24" s="189"/>
      <c r="NDB24" s="189"/>
      <c r="NDC24" s="189"/>
      <c r="NDD24" s="189"/>
      <c r="NDE24" s="189"/>
      <c r="NDF24" s="189"/>
      <c r="NDG24" s="189"/>
      <c r="NDH24" s="189"/>
      <c r="NDI24" s="189"/>
      <c r="NDJ24" s="189"/>
      <c r="NDK24" s="189"/>
      <c r="NDL24" s="189"/>
      <c r="NDM24" s="189"/>
      <c r="NDN24" s="189"/>
      <c r="NDO24" s="189"/>
      <c r="NDP24" s="189"/>
      <c r="NDQ24" s="189"/>
      <c r="NDR24" s="189"/>
      <c r="NDS24" s="189"/>
      <c r="NDT24" s="189"/>
      <c r="NDU24" s="189"/>
      <c r="NDV24" s="189"/>
      <c r="NDW24" s="189"/>
      <c r="NDX24" s="189"/>
      <c r="NDY24" s="189"/>
      <c r="NDZ24" s="189"/>
      <c r="NEA24" s="189"/>
      <c r="NEB24" s="189"/>
      <c r="NEC24" s="189"/>
      <c r="NED24" s="189"/>
      <c r="NEE24" s="189"/>
      <c r="NEF24" s="189"/>
      <c r="NEG24" s="189"/>
      <c r="NEH24" s="189"/>
      <c r="NEI24" s="189"/>
      <c r="NEJ24" s="189"/>
      <c r="NEK24" s="189"/>
      <c r="NEL24" s="189"/>
      <c r="NEM24" s="189"/>
      <c r="NEN24" s="189"/>
      <c r="NEO24" s="189"/>
      <c r="NEP24" s="189"/>
      <c r="NEQ24" s="189"/>
      <c r="NER24" s="189"/>
      <c r="NES24" s="189"/>
      <c r="NET24" s="189"/>
      <c r="NEU24" s="189"/>
      <c r="NEV24" s="189"/>
      <c r="NEW24" s="189"/>
      <c r="NEX24" s="189"/>
      <c r="NEY24" s="189"/>
      <c r="NEZ24" s="189"/>
      <c r="NFA24" s="189"/>
      <c r="NFB24" s="189"/>
      <c r="NFC24" s="189"/>
      <c r="NFD24" s="189"/>
      <c r="NFE24" s="189"/>
      <c r="NFF24" s="189"/>
      <c r="NFG24" s="189"/>
      <c r="NFH24" s="189"/>
      <c r="NFI24" s="189"/>
      <c r="NFJ24" s="189"/>
      <c r="NFK24" s="189"/>
      <c r="NFL24" s="189"/>
      <c r="NFM24" s="189"/>
      <c r="NFN24" s="189"/>
      <c r="NFO24" s="189"/>
      <c r="NFP24" s="189"/>
      <c r="NFQ24" s="189"/>
      <c r="NFR24" s="189"/>
      <c r="NFS24" s="189"/>
      <c r="NFT24" s="189"/>
      <c r="NFU24" s="189"/>
      <c r="NFV24" s="189"/>
      <c r="NFW24" s="189"/>
      <c r="NFX24" s="189"/>
      <c r="NFY24" s="189"/>
      <c r="NFZ24" s="189"/>
      <c r="NGA24" s="189"/>
      <c r="NGB24" s="189"/>
      <c r="NGC24" s="189"/>
      <c r="NGD24" s="189"/>
      <c r="NGE24" s="189"/>
      <c r="NGF24" s="189"/>
      <c r="NGG24" s="189"/>
      <c r="NGH24" s="189"/>
      <c r="NGI24" s="189"/>
      <c r="NGJ24" s="189"/>
      <c r="NGK24" s="189"/>
      <c r="NGL24" s="189"/>
      <c r="NGM24" s="189"/>
      <c r="NGN24" s="189"/>
      <c r="NGO24" s="189"/>
      <c r="NGP24" s="189"/>
      <c r="NGQ24" s="189"/>
      <c r="NGR24" s="189"/>
      <c r="NGS24" s="189"/>
      <c r="NGT24" s="189"/>
      <c r="NGU24" s="189"/>
      <c r="NGV24" s="189"/>
      <c r="NGW24" s="189"/>
      <c r="NGX24" s="189"/>
      <c r="NGY24" s="189"/>
      <c r="NGZ24" s="189"/>
      <c r="NHA24" s="189"/>
      <c r="NHB24" s="189"/>
      <c r="NHC24" s="189"/>
      <c r="NHD24" s="189"/>
      <c r="NHE24" s="189"/>
      <c r="NHF24" s="189"/>
      <c r="NHG24" s="189"/>
      <c r="NHH24" s="189"/>
      <c r="NHI24" s="189"/>
      <c r="NHJ24" s="189"/>
      <c r="NHK24" s="189"/>
      <c r="NHL24" s="189"/>
      <c r="NHM24" s="189"/>
      <c r="NHN24" s="189"/>
      <c r="NHO24" s="189"/>
      <c r="NHP24" s="189"/>
      <c r="NHQ24" s="189"/>
      <c r="NHR24" s="189"/>
      <c r="NHS24" s="189"/>
      <c r="NHT24" s="189"/>
      <c r="NHU24" s="189"/>
      <c r="NHV24" s="189"/>
      <c r="NHW24" s="189"/>
      <c r="NHX24" s="189"/>
      <c r="NHY24" s="189"/>
      <c r="NHZ24" s="189"/>
      <c r="NIA24" s="189"/>
      <c r="NIB24" s="189"/>
      <c r="NIC24" s="189"/>
      <c r="NID24" s="189"/>
      <c r="NIE24" s="189"/>
      <c r="NIF24" s="189"/>
      <c r="NIG24" s="189"/>
      <c r="NIH24" s="189"/>
      <c r="NII24" s="189"/>
      <c r="NIJ24" s="189"/>
      <c r="NIK24" s="189"/>
      <c r="NIL24" s="189"/>
      <c r="NIM24" s="189"/>
      <c r="NIN24" s="189"/>
      <c r="NIO24" s="189"/>
      <c r="NIP24" s="189"/>
      <c r="NIQ24" s="189"/>
      <c r="NIR24" s="189"/>
      <c r="NIS24" s="189"/>
      <c r="NIT24" s="189"/>
      <c r="NIU24" s="189"/>
      <c r="NIV24" s="189"/>
      <c r="NIW24" s="189"/>
      <c r="NIX24" s="189"/>
      <c r="NIY24" s="189"/>
      <c r="NIZ24" s="189"/>
      <c r="NJA24" s="189"/>
      <c r="NJB24" s="189"/>
      <c r="NJC24" s="189"/>
      <c r="NJD24" s="189"/>
      <c r="NJE24" s="189"/>
      <c r="NJF24" s="189"/>
      <c r="NJG24" s="189"/>
      <c r="NJH24" s="189"/>
      <c r="NJI24" s="189"/>
      <c r="NJJ24" s="189"/>
      <c r="NJK24" s="189"/>
      <c r="NJL24" s="189"/>
      <c r="NJM24" s="189"/>
      <c r="NJN24" s="189"/>
      <c r="NJO24" s="189"/>
      <c r="NJP24" s="189"/>
      <c r="NJQ24" s="189"/>
      <c r="NJR24" s="189"/>
      <c r="NJS24" s="189"/>
      <c r="NJT24" s="189"/>
      <c r="NJU24" s="189"/>
      <c r="NJV24" s="189"/>
      <c r="NJW24" s="189"/>
      <c r="NJX24" s="189"/>
      <c r="NJY24" s="189"/>
      <c r="NJZ24" s="189"/>
      <c r="NKA24" s="189"/>
      <c r="NKB24" s="189"/>
      <c r="NKC24" s="189"/>
      <c r="NKD24" s="189"/>
      <c r="NKE24" s="189"/>
      <c r="NKF24" s="189"/>
      <c r="NKG24" s="189"/>
      <c r="NKH24" s="189"/>
      <c r="NKI24" s="189"/>
      <c r="NKJ24" s="189"/>
      <c r="NKK24" s="189"/>
      <c r="NKL24" s="189"/>
      <c r="NKM24" s="189"/>
      <c r="NKN24" s="189"/>
      <c r="NKO24" s="189"/>
      <c r="NKP24" s="189"/>
      <c r="NKQ24" s="189"/>
      <c r="NKR24" s="189"/>
      <c r="NKS24" s="189"/>
      <c r="NKT24" s="189"/>
      <c r="NKU24" s="189"/>
      <c r="NKV24" s="189"/>
      <c r="NKW24" s="189"/>
      <c r="NKX24" s="189"/>
      <c r="NKY24" s="189"/>
      <c r="NKZ24" s="189"/>
      <c r="NLA24" s="189"/>
      <c r="NLB24" s="189"/>
      <c r="NLC24" s="189"/>
      <c r="NLD24" s="189"/>
      <c r="NLE24" s="189"/>
      <c r="NLF24" s="189"/>
      <c r="NLG24" s="189"/>
      <c r="NLH24" s="189"/>
      <c r="NLI24" s="189"/>
      <c r="NLJ24" s="189"/>
      <c r="NLK24" s="189"/>
      <c r="NLL24" s="189"/>
      <c r="NLM24" s="189"/>
      <c r="NLN24" s="189"/>
      <c r="NLO24" s="189"/>
      <c r="NLP24" s="189"/>
      <c r="NLQ24" s="189"/>
      <c r="NLR24" s="189"/>
      <c r="NLS24" s="189"/>
      <c r="NLT24" s="189"/>
      <c r="NLU24" s="189"/>
      <c r="NLV24" s="189"/>
      <c r="NLW24" s="189"/>
      <c r="NLX24" s="189"/>
      <c r="NLY24" s="189"/>
      <c r="NLZ24" s="189"/>
      <c r="NMA24" s="189"/>
      <c r="NMB24" s="189"/>
      <c r="NMC24" s="189"/>
      <c r="NMD24" s="189"/>
      <c r="NME24" s="189"/>
      <c r="NMF24" s="189"/>
      <c r="NMG24" s="189"/>
      <c r="NMH24" s="189"/>
      <c r="NMI24" s="189"/>
      <c r="NMJ24" s="189"/>
      <c r="NMK24" s="189"/>
      <c r="NML24" s="189"/>
      <c r="NMM24" s="189"/>
      <c r="NMN24" s="189"/>
      <c r="NMO24" s="189"/>
      <c r="NMP24" s="189"/>
      <c r="NMQ24" s="189"/>
      <c r="NMR24" s="189"/>
      <c r="NMS24" s="189"/>
      <c r="NMT24" s="189"/>
      <c r="NMU24" s="189"/>
      <c r="NMV24" s="189"/>
      <c r="NMW24" s="189"/>
      <c r="NMX24" s="189"/>
      <c r="NMY24" s="189"/>
      <c r="NMZ24" s="189"/>
      <c r="NNA24" s="189"/>
      <c r="NNB24" s="189"/>
      <c r="NNC24" s="189"/>
      <c r="NND24" s="189"/>
      <c r="NNE24" s="189"/>
      <c r="NNF24" s="189"/>
      <c r="NNG24" s="189"/>
      <c r="NNH24" s="189"/>
      <c r="NNI24" s="189"/>
      <c r="NNJ24" s="189"/>
      <c r="NNK24" s="189"/>
      <c r="NNL24" s="189"/>
      <c r="NNM24" s="189"/>
      <c r="NNN24" s="189"/>
      <c r="NNO24" s="189"/>
      <c r="NNP24" s="189"/>
      <c r="NNQ24" s="189"/>
      <c r="NNR24" s="189"/>
      <c r="NNS24" s="189"/>
      <c r="NNT24" s="189"/>
      <c r="NNU24" s="189"/>
      <c r="NNV24" s="189"/>
      <c r="NNW24" s="189"/>
      <c r="NNX24" s="189"/>
      <c r="NNY24" s="189"/>
      <c r="NNZ24" s="189"/>
      <c r="NOA24" s="189"/>
      <c r="NOB24" s="189"/>
      <c r="NOC24" s="189"/>
      <c r="NOD24" s="189"/>
      <c r="NOE24" s="189"/>
      <c r="NOF24" s="189"/>
      <c r="NOG24" s="189"/>
      <c r="NOH24" s="189"/>
      <c r="NOI24" s="189"/>
      <c r="NOJ24" s="189"/>
      <c r="NOK24" s="189"/>
      <c r="NOL24" s="189"/>
      <c r="NOM24" s="189"/>
      <c r="NON24" s="189"/>
      <c r="NOO24" s="189"/>
      <c r="NOP24" s="189"/>
      <c r="NOQ24" s="189"/>
      <c r="NOR24" s="189"/>
      <c r="NOS24" s="189"/>
      <c r="NOT24" s="189"/>
      <c r="NOU24" s="189"/>
      <c r="NOV24" s="189"/>
      <c r="NOW24" s="189"/>
      <c r="NOX24" s="189"/>
      <c r="NOY24" s="189"/>
      <c r="NOZ24" s="189"/>
      <c r="NPA24" s="189"/>
      <c r="NPB24" s="189"/>
      <c r="NPC24" s="189"/>
      <c r="NPD24" s="189"/>
      <c r="NPE24" s="189"/>
      <c r="NPF24" s="189"/>
      <c r="NPG24" s="189"/>
      <c r="NPH24" s="189"/>
      <c r="NPI24" s="189"/>
      <c r="NPJ24" s="189"/>
      <c r="NPK24" s="189"/>
      <c r="NPL24" s="189"/>
      <c r="NPM24" s="189"/>
      <c r="NPN24" s="189"/>
      <c r="NPO24" s="189"/>
      <c r="NPP24" s="189"/>
      <c r="NPQ24" s="189"/>
      <c r="NPR24" s="189"/>
      <c r="NPS24" s="189"/>
      <c r="NPT24" s="189"/>
      <c r="NPU24" s="189"/>
      <c r="NPV24" s="189"/>
      <c r="NPW24" s="189"/>
      <c r="NPX24" s="189"/>
      <c r="NPY24" s="189"/>
      <c r="NPZ24" s="189"/>
      <c r="NQA24" s="189"/>
      <c r="NQB24" s="189"/>
      <c r="NQC24" s="189"/>
      <c r="NQD24" s="189"/>
      <c r="NQE24" s="189"/>
      <c r="NQF24" s="189"/>
      <c r="NQG24" s="189"/>
      <c r="NQH24" s="189"/>
      <c r="NQI24" s="189"/>
      <c r="NQJ24" s="189"/>
      <c r="NQK24" s="189"/>
      <c r="NQL24" s="189"/>
      <c r="NQM24" s="189"/>
      <c r="NQN24" s="189"/>
      <c r="NQO24" s="189"/>
      <c r="NQP24" s="189"/>
      <c r="NQQ24" s="189"/>
      <c r="NQR24" s="189"/>
      <c r="NQS24" s="189"/>
      <c r="NQT24" s="189"/>
      <c r="NQU24" s="189"/>
      <c r="NQV24" s="189"/>
      <c r="NQW24" s="189"/>
      <c r="NQX24" s="189"/>
      <c r="NQY24" s="189"/>
      <c r="NQZ24" s="189"/>
      <c r="NRA24" s="189"/>
      <c r="NRB24" s="189"/>
      <c r="NRC24" s="189"/>
      <c r="NRD24" s="189"/>
      <c r="NRE24" s="189"/>
      <c r="NRF24" s="189"/>
      <c r="NRG24" s="189"/>
      <c r="NRH24" s="189"/>
      <c r="NRI24" s="189"/>
      <c r="NRJ24" s="189"/>
      <c r="NRK24" s="189"/>
      <c r="NRL24" s="189"/>
      <c r="NRM24" s="189"/>
      <c r="NRN24" s="189"/>
      <c r="NRO24" s="189"/>
      <c r="NRP24" s="189"/>
      <c r="NRQ24" s="189"/>
      <c r="NRR24" s="189"/>
      <c r="NRS24" s="189"/>
      <c r="NRT24" s="189"/>
      <c r="NRU24" s="189"/>
      <c r="NRV24" s="189"/>
      <c r="NRW24" s="189"/>
      <c r="NRX24" s="189"/>
      <c r="NRY24" s="189"/>
      <c r="NRZ24" s="189"/>
      <c r="NSA24" s="189"/>
      <c r="NSB24" s="189"/>
      <c r="NSC24" s="189"/>
      <c r="NSD24" s="189"/>
      <c r="NSE24" s="189"/>
      <c r="NSF24" s="189"/>
      <c r="NSG24" s="189"/>
      <c r="NSH24" s="189"/>
      <c r="NSI24" s="189"/>
      <c r="NSJ24" s="189"/>
      <c r="NSK24" s="189"/>
      <c r="NSL24" s="189"/>
      <c r="NSM24" s="189"/>
      <c r="NSN24" s="189"/>
      <c r="NSO24" s="189"/>
      <c r="NSP24" s="189"/>
      <c r="NSQ24" s="189"/>
      <c r="NSR24" s="189"/>
      <c r="NSS24" s="189"/>
      <c r="NST24" s="189"/>
      <c r="NSU24" s="189"/>
      <c r="NSV24" s="189"/>
      <c r="NSW24" s="189"/>
      <c r="NSX24" s="189"/>
      <c r="NSY24" s="189"/>
      <c r="NSZ24" s="189"/>
      <c r="NTA24" s="189"/>
      <c r="NTB24" s="189"/>
      <c r="NTC24" s="189"/>
      <c r="NTD24" s="189"/>
      <c r="NTE24" s="189"/>
      <c r="NTF24" s="189"/>
      <c r="NTG24" s="189"/>
      <c r="NTH24" s="189"/>
      <c r="NTI24" s="189"/>
      <c r="NTJ24" s="189"/>
      <c r="NTK24" s="189"/>
      <c r="NTL24" s="189"/>
      <c r="NTM24" s="189"/>
      <c r="NTN24" s="189"/>
      <c r="NTO24" s="189"/>
      <c r="NTP24" s="189"/>
      <c r="NTQ24" s="189"/>
      <c r="NTR24" s="189"/>
      <c r="NTS24" s="189"/>
      <c r="NTT24" s="189"/>
      <c r="NTU24" s="189"/>
      <c r="NTV24" s="189"/>
      <c r="NTW24" s="189"/>
      <c r="NTX24" s="189"/>
      <c r="NTY24" s="189"/>
      <c r="NTZ24" s="189"/>
      <c r="NUA24" s="189"/>
      <c r="NUB24" s="189"/>
      <c r="NUC24" s="189"/>
      <c r="NUD24" s="189"/>
      <c r="NUE24" s="189"/>
      <c r="NUF24" s="189"/>
      <c r="NUG24" s="189"/>
      <c r="NUH24" s="189"/>
      <c r="NUI24" s="189"/>
      <c r="NUJ24" s="189"/>
      <c r="NUK24" s="189"/>
      <c r="NUL24" s="189"/>
      <c r="NUM24" s="189"/>
      <c r="NUN24" s="189"/>
      <c r="NUO24" s="189"/>
      <c r="NUP24" s="189"/>
      <c r="NUQ24" s="189"/>
      <c r="NUR24" s="189"/>
      <c r="NUS24" s="189"/>
      <c r="NUT24" s="189"/>
      <c r="NUU24" s="189"/>
      <c r="NUV24" s="189"/>
      <c r="NUW24" s="189"/>
      <c r="NUX24" s="189"/>
      <c r="NUY24" s="189"/>
      <c r="NUZ24" s="189"/>
      <c r="NVA24" s="189"/>
      <c r="NVB24" s="189"/>
      <c r="NVC24" s="189"/>
      <c r="NVD24" s="189"/>
      <c r="NVE24" s="189"/>
      <c r="NVF24" s="189"/>
      <c r="NVG24" s="189"/>
      <c r="NVH24" s="189"/>
      <c r="NVI24" s="189"/>
      <c r="NVJ24" s="189"/>
      <c r="NVK24" s="189"/>
      <c r="NVL24" s="189"/>
      <c r="NVM24" s="189"/>
      <c r="NVN24" s="189"/>
      <c r="NVO24" s="189"/>
      <c r="NVP24" s="189"/>
      <c r="NVQ24" s="189"/>
      <c r="NVR24" s="189"/>
      <c r="NVS24" s="189"/>
      <c r="NVT24" s="189"/>
      <c r="NVU24" s="189"/>
      <c r="NVV24" s="189"/>
      <c r="NVW24" s="189"/>
      <c r="NVX24" s="189"/>
      <c r="NVY24" s="189"/>
      <c r="NVZ24" s="189"/>
      <c r="NWA24" s="189"/>
      <c r="NWB24" s="189"/>
      <c r="NWC24" s="189"/>
      <c r="NWD24" s="189"/>
      <c r="NWE24" s="189"/>
      <c r="NWF24" s="189"/>
      <c r="NWG24" s="189"/>
      <c r="NWH24" s="189"/>
      <c r="NWI24" s="189"/>
      <c r="NWJ24" s="189"/>
      <c r="NWK24" s="189"/>
      <c r="NWL24" s="189"/>
      <c r="NWM24" s="189"/>
      <c r="NWN24" s="189"/>
      <c r="NWO24" s="189"/>
      <c r="NWP24" s="189"/>
      <c r="NWQ24" s="189"/>
      <c r="NWR24" s="189"/>
      <c r="NWS24" s="189"/>
      <c r="NWT24" s="189"/>
      <c r="NWU24" s="189"/>
      <c r="NWV24" s="189"/>
      <c r="NWW24" s="189"/>
      <c r="NWX24" s="189"/>
      <c r="NWY24" s="189"/>
      <c r="NWZ24" s="189"/>
      <c r="NXA24" s="189"/>
      <c r="NXB24" s="189"/>
      <c r="NXC24" s="189"/>
      <c r="NXD24" s="189"/>
      <c r="NXE24" s="189"/>
      <c r="NXF24" s="189"/>
      <c r="NXG24" s="189"/>
      <c r="NXH24" s="189"/>
      <c r="NXI24" s="189"/>
      <c r="NXJ24" s="189"/>
      <c r="NXK24" s="189"/>
      <c r="NXL24" s="189"/>
      <c r="NXM24" s="189"/>
      <c r="NXN24" s="189"/>
      <c r="NXO24" s="189"/>
      <c r="NXP24" s="189"/>
      <c r="NXQ24" s="189"/>
      <c r="NXR24" s="189"/>
      <c r="NXS24" s="189"/>
      <c r="NXT24" s="189"/>
      <c r="NXU24" s="189"/>
      <c r="NXV24" s="189"/>
      <c r="NXW24" s="189"/>
      <c r="NXX24" s="189"/>
      <c r="NXY24" s="189"/>
      <c r="NXZ24" s="189"/>
      <c r="NYA24" s="189"/>
      <c r="NYB24" s="189"/>
      <c r="NYC24" s="189"/>
      <c r="NYD24" s="189"/>
      <c r="NYE24" s="189"/>
      <c r="NYF24" s="189"/>
      <c r="NYG24" s="189"/>
      <c r="NYH24" s="189"/>
      <c r="NYI24" s="189"/>
      <c r="NYJ24" s="189"/>
      <c r="NYK24" s="189"/>
      <c r="NYL24" s="189"/>
      <c r="NYM24" s="189"/>
      <c r="NYN24" s="189"/>
      <c r="NYO24" s="189"/>
      <c r="NYP24" s="189"/>
      <c r="NYQ24" s="189"/>
      <c r="NYR24" s="189"/>
      <c r="NYS24" s="189"/>
      <c r="NYT24" s="189"/>
      <c r="NYU24" s="189"/>
      <c r="NYV24" s="189"/>
      <c r="NYW24" s="189"/>
      <c r="NYX24" s="189"/>
      <c r="NYY24" s="189"/>
      <c r="NYZ24" s="189"/>
      <c r="NZA24" s="189"/>
      <c r="NZB24" s="189"/>
      <c r="NZC24" s="189"/>
      <c r="NZD24" s="189"/>
      <c r="NZE24" s="189"/>
      <c r="NZF24" s="189"/>
      <c r="NZG24" s="189"/>
      <c r="NZH24" s="189"/>
      <c r="NZI24" s="189"/>
      <c r="NZJ24" s="189"/>
      <c r="NZK24" s="189"/>
      <c r="NZL24" s="189"/>
      <c r="NZM24" s="189"/>
      <c r="NZN24" s="189"/>
      <c r="NZO24" s="189"/>
      <c r="NZP24" s="189"/>
      <c r="NZQ24" s="189"/>
      <c r="NZR24" s="189"/>
      <c r="NZS24" s="189"/>
      <c r="NZT24" s="189"/>
      <c r="NZU24" s="189"/>
      <c r="NZV24" s="189"/>
      <c r="NZW24" s="189"/>
      <c r="NZX24" s="189"/>
      <c r="NZY24" s="189"/>
      <c r="NZZ24" s="189"/>
      <c r="OAA24" s="189"/>
      <c r="OAB24" s="189"/>
      <c r="OAC24" s="189"/>
      <c r="OAD24" s="189"/>
      <c r="OAE24" s="189"/>
      <c r="OAF24" s="189"/>
      <c r="OAG24" s="189"/>
      <c r="OAH24" s="189"/>
      <c r="OAI24" s="189"/>
      <c r="OAJ24" s="189"/>
      <c r="OAK24" s="189"/>
      <c r="OAL24" s="189"/>
      <c r="OAM24" s="189"/>
      <c r="OAN24" s="189"/>
      <c r="OAO24" s="189"/>
      <c r="OAP24" s="189"/>
      <c r="OAQ24" s="189"/>
      <c r="OAR24" s="189"/>
      <c r="OAS24" s="189"/>
      <c r="OAT24" s="189"/>
      <c r="OAU24" s="189"/>
      <c r="OAV24" s="189"/>
      <c r="OAW24" s="189"/>
      <c r="OAX24" s="189"/>
      <c r="OAY24" s="189"/>
      <c r="OAZ24" s="189"/>
      <c r="OBA24" s="189"/>
      <c r="OBB24" s="189"/>
      <c r="OBC24" s="189"/>
      <c r="OBD24" s="189"/>
      <c r="OBE24" s="189"/>
      <c r="OBF24" s="189"/>
      <c r="OBG24" s="189"/>
      <c r="OBH24" s="189"/>
      <c r="OBI24" s="189"/>
      <c r="OBJ24" s="189"/>
      <c r="OBK24" s="189"/>
      <c r="OBL24" s="189"/>
      <c r="OBM24" s="189"/>
      <c r="OBN24" s="189"/>
      <c r="OBO24" s="189"/>
      <c r="OBP24" s="189"/>
      <c r="OBQ24" s="189"/>
      <c r="OBR24" s="189"/>
      <c r="OBS24" s="189"/>
      <c r="OBT24" s="189"/>
      <c r="OBU24" s="189"/>
      <c r="OBV24" s="189"/>
      <c r="OBW24" s="189"/>
      <c r="OBX24" s="189"/>
      <c r="OBY24" s="189"/>
      <c r="OBZ24" s="189"/>
      <c r="OCA24" s="189"/>
      <c r="OCB24" s="189"/>
      <c r="OCC24" s="189"/>
      <c r="OCD24" s="189"/>
      <c r="OCE24" s="189"/>
      <c r="OCF24" s="189"/>
      <c r="OCG24" s="189"/>
      <c r="OCH24" s="189"/>
      <c r="OCI24" s="189"/>
      <c r="OCJ24" s="189"/>
      <c r="OCK24" s="189"/>
      <c r="OCL24" s="189"/>
      <c r="OCM24" s="189"/>
      <c r="OCN24" s="189"/>
      <c r="OCO24" s="189"/>
      <c r="OCP24" s="189"/>
      <c r="OCQ24" s="189"/>
      <c r="OCR24" s="189"/>
      <c r="OCS24" s="189"/>
      <c r="OCT24" s="189"/>
      <c r="OCU24" s="189"/>
      <c r="OCV24" s="189"/>
      <c r="OCW24" s="189"/>
      <c r="OCX24" s="189"/>
      <c r="OCY24" s="189"/>
      <c r="OCZ24" s="189"/>
      <c r="ODA24" s="189"/>
      <c r="ODB24" s="189"/>
      <c r="ODC24" s="189"/>
      <c r="ODD24" s="189"/>
      <c r="ODE24" s="189"/>
      <c r="ODF24" s="189"/>
      <c r="ODG24" s="189"/>
      <c r="ODH24" s="189"/>
      <c r="ODI24" s="189"/>
      <c r="ODJ24" s="189"/>
      <c r="ODK24" s="189"/>
      <c r="ODL24" s="189"/>
      <c r="ODM24" s="189"/>
      <c r="ODN24" s="189"/>
      <c r="ODO24" s="189"/>
      <c r="ODP24" s="189"/>
      <c r="ODQ24" s="189"/>
      <c r="ODR24" s="189"/>
      <c r="ODS24" s="189"/>
      <c r="ODT24" s="189"/>
      <c r="ODU24" s="189"/>
      <c r="ODV24" s="189"/>
      <c r="ODW24" s="189"/>
      <c r="ODX24" s="189"/>
      <c r="ODY24" s="189"/>
      <c r="ODZ24" s="189"/>
      <c r="OEA24" s="189"/>
      <c r="OEB24" s="189"/>
      <c r="OEC24" s="189"/>
      <c r="OED24" s="189"/>
      <c r="OEE24" s="189"/>
      <c r="OEF24" s="189"/>
      <c r="OEG24" s="189"/>
      <c r="OEH24" s="189"/>
      <c r="OEI24" s="189"/>
      <c r="OEJ24" s="189"/>
      <c r="OEK24" s="189"/>
      <c r="OEL24" s="189"/>
      <c r="OEM24" s="189"/>
      <c r="OEN24" s="189"/>
      <c r="OEO24" s="189"/>
      <c r="OEP24" s="189"/>
      <c r="OEQ24" s="189"/>
      <c r="OER24" s="189"/>
      <c r="OES24" s="189"/>
      <c r="OET24" s="189"/>
      <c r="OEU24" s="189"/>
      <c r="OEV24" s="189"/>
      <c r="OEW24" s="189"/>
      <c r="OEX24" s="189"/>
      <c r="OEY24" s="189"/>
      <c r="OEZ24" s="189"/>
      <c r="OFA24" s="189"/>
      <c r="OFB24" s="189"/>
      <c r="OFC24" s="189"/>
      <c r="OFD24" s="189"/>
      <c r="OFE24" s="189"/>
      <c r="OFF24" s="189"/>
      <c r="OFG24" s="189"/>
      <c r="OFH24" s="189"/>
      <c r="OFI24" s="189"/>
      <c r="OFJ24" s="189"/>
      <c r="OFK24" s="189"/>
      <c r="OFL24" s="189"/>
      <c r="OFM24" s="189"/>
      <c r="OFN24" s="189"/>
      <c r="OFO24" s="189"/>
      <c r="OFP24" s="189"/>
      <c r="OFQ24" s="189"/>
      <c r="OFR24" s="189"/>
      <c r="OFS24" s="189"/>
      <c r="OFT24" s="189"/>
      <c r="OFU24" s="189"/>
      <c r="OFV24" s="189"/>
      <c r="OFW24" s="189"/>
      <c r="OFX24" s="189"/>
      <c r="OFY24" s="189"/>
      <c r="OFZ24" s="189"/>
      <c r="OGA24" s="189"/>
      <c r="OGB24" s="189"/>
      <c r="OGC24" s="189"/>
      <c r="OGD24" s="189"/>
      <c r="OGE24" s="189"/>
      <c r="OGF24" s="189"/>
      <c r="OGG24" s="189"/>
      <c r="OGH24" s="189"/>
      <c r="OGI24" s="189"/>
      <c r="OGJ24" s="189"/>
      <c r="OGK24" s="189"/>
      <c r="OGL24" s="189"/>
      <c r="OGM24" s="189"/>
      <c r="OGN24" s="189"/>
      <c r="OGO24" s="189"/>
      <c r="OGP24" s="189"/>
      <c r="OGQ24" s="189"/>
      <c r="OGR24" s="189"/>
      <c r="OGS24" s="189"/>
      <c r="OGT24" s="189"/>
      <c r="OGU24" s="189"/>
      <c r="OGV24" s="189"/>
      <c r="OGW24" s="189"/>
      <c r="OGX24" s="189"/>
      <c r="OGY24" s="189"/>
      <c r="OGZ24" s="189"/>
      <c r="OHA24" s="189"/>
      <c r="OHB24" s="189"/>
      <c r="OHC24" s="189"/>
      <c r="OHD24" s="189"/>
      <c r="OHE24" s="189"/>
      <c r="OHF24" s="189"/>
      <c r="OHG24" s="189"/>
      <c r="OHH24" s="189"/>
      <c r="OHI24" s="189"/>
      <c r="OHJ24" s="189"/>
      <c r="OHK24" s="189"/>
      <c r="OHL24" s="189"/>
      <c r="OHM24" s="189"/>
      <c r="OHN24" s="189"/>
      <c r="OHO24" s="189"/>
      <c r="OHP24" s="189"/>
      <c r="OHQ24" s="189"/>
      <c r="OHR24" s="189"/>
      <c r="OHS24" s="189"/>
      <c r="OHT24" s="189"/>
      <c r="OHU24" s="189"/>
      <c r="OHV24" s="189"/>
      <c r="OHW24" s="189"/>
      <c r="OHX24" s="189"/>
      <c r="OHY24" s="189"/>
      <c r="OHZ24" s="189"/>
      <c r="OIA24" s="189"/>
      <c r="OIB24" s="189"/>
      <c r="OIC24" s="189"/>
      <c r="OID24" s="189"/>
      <c r="OIE24" s="189"/>
      <c r="OIF24" s="189"/>
      <c r="OIG24" s="189"/>
      <c r="OIH24" s="189"/>
      <c r="OII24" s="189"/>
      <c r="OIJ24" s="189"/>
      <c r="OIK24" s="189"/>
      <c r="OIL24" s="189"/>
      <c r="OIM24" s="189"/>
      <c r="OIN24" s="189"/>
      <c r="OIO24" s="189"/>
      <c r="OIP24" s="189"/>
      <c r="OIQ24" s="189"/>
      <c r="OIR24" s="189"/>
      <c r="OIS24" s="189"/>
      <c r="OIT24" s="189"/>
      <c r="OIU24" s="189"/>
      <c r="OIV24" s="189"/>
      <c r="OIW24" s="189"/>
      <c r="OIX24" s="189"/>
      <c r="OIY24" s="189"/>
      <c r="OIZ24" s="189"/>
      <c r="OJA24" s="189"/>
      <c r="OJB24" s="189"/>
      <c r="OJC24" s="189"/>
      <c r="OJD24" s="189"/>
      <c r="OJE24" s="189"/>
      <c r="OJF24" s="189"/>
      <c r="OJG24" s="189"/>
      <c r="OJH24" s="189"/>
      <c r="OJI24" s="189"/>
      <c r="OJJ24" s="189"/>
      <c r="OJK24" s="189"/>
      <c r="OJL24" s="189"/>
      <c r="OJM24" s="189"/>
      <c r="OJN24" s="189"/>
      <c r="OJO24" s="189"/>
      <c r="OJP24" s="189"/>
      <c r="OJQ24" s="189"/>
      <c r="OJR24" s="189"/>
      <c r="OJS24" s="189"/>
      <c r="OJT24" s="189"/>
      <c r="OJU24" s="189"/>
      <c r="OJV24" s="189"/>
      <c r="OJW24" s="189"/>
      <c r="OJX24" s="189"/>
      <c r="OJY24" s="189"/>
      <c r="OJZ24" s="189"/>
      <c r="OKA24" s="189"/>
      <c r="OKB24" s="189"/>
      <c r="OKC24" s="189"/>
      <c r="OKD24" s="189"/>
      <c r="OKE24" s="189"/>
      <c r="OKF24" s="189"/>
      <c r="OKG24" s="189"/>
      <c r="OKH24" s="189"/>
      <c r="OKI24" s="189"/>
      <c r="OKJ24" s="189"/>
      <c r="OKK24" s="189"/>
      <c r="OKL24" s="189"/>
      <c r="OKM24" s="189"/>
      <c r="OKN24" s="189"/>
      <c r="OKO24" s="189"/>
      <c r="OKP24" s="189"/>
      <c r="OKQ24" s="189"/>
      <c r="OKR24" s="189"/>
      <c r="OKS24" s="189"/>
      <c r="OKT24" s="189"/>
      <c r="OKU24" s="189"/>
      <c r="OKV24" s="189"/>
      <c r="OKW24" s="189"/>
      <c r="OKX24" s="189"/>
      <c r="OKY24" s="189"/>
      <c r="OKZ24" s="189"/>
      <c r="OLA24" s="189"/>
      <c r="OLB24" s="189"/>
      <c r="OLC24" s="189"/>
      <c r="OLD24" s="189"/>
      <c r="OLE24" s="189"/>
      <c r="OLF24" s="189"/>
      <c r="OLG24" s="189"/>
      <c r="OLH24" s="189"/>
      <c r="OLI24" s="189"/>
      <c r="OLJ24" s="189"/>
      <c r="OLK24" s="189"/>
      <c r="OLL24" s="189"/>
      <c r="OLM24" s="189"/>
      <c r="OLN24" s="189"/>
      <c r="OLO24" s="189"/>
      <c r="OLP24" s="189"/>
      <c r="OLQ24" s="189"/>
      <c r="OLR24" s="189"/>
      <c r="OLS24" s="189"/>
      <c r="OLT24" s="189"/>
      <c r="OLU24" s="189"/>
      <c r="OLV24" s="189"/>
      <c r="OLW24" s="189"/>
      <c r="OLX24" s="189"/>
      <c r="OLY24" s="189"/>
      <c r="OLZ24" s="189"/>
      <c r="OMA24" s="189"/>
      <c r="OMB24" s="189"/>
      <c r="OMC24" s="189"/>
      <c r="OMD24" s="189"/>
      <c r="OME24" s="189"/>
      <c r="OMF24" s="189"/>
      <c r="OMG24" s="189"/>
      <c r="OMH24" s="189"/>
      <c r="OMI24" s="189"/>
      <c r="OMJ24" s="189"/>
      <c r="OMK24" s="189"/>
      <c r="OML24" s="189"/>
      <c r="OMM24" s="189"/>
      <c r="OMN24" s="189"/>
      <c r="OMO24" s="189"/>
      <c r="OMP24" s="189"/>
      <c r="OMQ24" s="189"/>
      <c r="OMR24" s="189"/>
      <c r="OMS24" s="189"/>
      <c r="OMT24" s="189"/>
      <c r="OMU24" s="189"/>
      <c r="OMV24" s="189"/>
      <c r="OMW24" s="189"/>
      <c r="OMX24" s="189"/>
      <c r="OMY24" s="189"/>
      <c r="OMZ24" s="189"/>
      <c r="ONA24" s="189"/>
      <c r="ONB24" s="189"/>
      <c r="ONC24" s="189"/>
      <c r="OND24" s="189"/>
      <c r="ONE24" s="189"/>
      <c r="ONF24" s="189"/>
      <c r="ONG24" s="189"/>
      <c r="ONH24" s="189"/>
      <c r="ONI24" s="189"/>
      <c r="ONJ24" s="189"/>
      <c r="ONK24" s="189"/>
      <c r="ONL24" s="189"/>
      <c r="ONM24" s="189"/>
      <c r="ONN24" s="189"/>
      <c r="ONO24" s="189"/>
      <c r="ONP24" s="189"/>
      <c r="ONQ24" s="189"/>
      <c r="ONR24" s="189"/>
      <c r="ONS24" s="189"/>
      <c r="ONT24" s="189"/>
      <c r="ONU24" s="189"/>
      <c r="ONV24" s="189"/>
      <c r="ONW24" s="189"/>
      <c r="ONX24" s="189"/>
      <c r="ONY24" s="189"/>
      <c r="ONZ24" s="189"/>
      <c r="OOA24" s="189"/>
      <c r="OOB24" s="189"/>
      <c r="OOC24" s="189"/>
      <c r="OOD24" s="189"/>
      <c r="OOE24" s="189"/>
      <c r="OOF24" s="189"/>
      <c r="OOG24" s="189"/>
      <c r="OOH24" s="189"/>
      <c r="OOI24" s="189"/>
      <c r="OOJ24" s="189"/>
      <c r="OOK24" s="189"/>
      <c r="OOL24" s="189"/>
      <c r="OOM24" s="189"/>
      <c r="OON24" s="189"/>
      <c r="OOO24" s="189"/>
      <c r="OOP24" s="189"/>
      <c r="OOQ24" s="189"/>
      <c r="OOR24" s="189"/>
      <c r="OOS24" s="189"/>
      <c r="OOT24" s="189"/>
      <c r="OOU24" s="189"/>
      <c r="OOV24" s="189"/>
      <c r="OOW24" s="189"/>
      <c r="OOX24" s="189"/>
      <c r="OOY24" s="189"/>
      <c r="OOZ24" s="189"/>
      <c r="OPA24" s="189"/>
      <c r="OPB24" s="189"/>
      <c r="OPC24" s="189"/>
      <c r="OPD24" s="189"/>
      <c r="OPE24" s="189"/>
      <c r="OPF24" s="189"/>
      <c r="OPG24" s="189"/>
      <c r="OPH24" s="189"/>
      <c r="OPI24" s="189"/>
      <c r="OPJ24" s="189"/>
      <c r="OPK24" s="189"/>
      <c r="OPL24" s="189"/>
      <c r="OPM24" s="189"/>
      <c r="OPN24" s="189"/>
      <c r="OPO24" s="189"/>
      <c r="OPP24" s="189"/>
      <c r="OPQ24" s="189"/>
      <c r="OPR24" s="189"/>
      <c r="OPS24" s="189"/>
      <c r="OPT24" s="189"/>
      <c r="OPU24" s="189"/>
      <c r="OPV24" s="189"/>
      <c r="OPW24" s="189"/>
      <c r="OPX24" s="189"/>
      <c r="OPY24" s="189"/>
      <c r="OPZ24" s="189"/>
      <c r="OQA24" s="189"/>
      <c r="OQB24" s="189"/>
      <c r="OQC24" s="189"/>
      <c r="OQD24" s="189"/>
      <c r="OQE24" s="189"/>
      <c r="OQF24" s="189"/>
      <c r="OQG24" s="189"/>
      <c r="OQH24" s="189"/>
      <c r="OQI24" s="189"/>
      <c r="OQJ24" s="189"/>
      <c r="OQK24" s="189"/>
      <c r="OQL24" s="189"/>
      <c r="OQM24" s="189"/>
      <c r="OQN24" s="189"/>
      <c r="OQO24" s="189"/>
      <c r="OQP24" s="189"/>
      <c r="OQQ24" s="189"/>
      <c r="OQR24" s="189"/>
      <c r="OQS24" s="189"/>
      <c r="OQT24" s="189"/>
      <c r="OQU24" s="189"/>
      <c r="OQV24" s="189"/>
      <c r="OQW24" s="189"/>
      <c r="OQX24" s="189"/>
      <c r="OQY24" s="189"/>
      <c r="OQZ24" s="189"/>
      <c r="ORA24" s="189"/>
      <c r="ORB24" s="189"/>
      <c r="ORC24" s="189"/>
      <c r="ORD24" s="189"/>
      <c r="ORE24" s="189"/>
      <c r="ORF24" s="189"/>
      <c r="ORG24" s="189"/>
      <c r="ORH24" s="189"/>
      <c r="ORI24" s="189"/>
      <c r="ORJ24" s="189"/>
      <c r="ORK24" s="189"/>
      <c r="ORL24" s="189"/>
      <c r="ORM24" s="189"/>
      <c r="ORN24" s="189"/>
      <c r="ORO24" s="189"/>
      <c r="ORP24" s="189"/>
      <c r="ORQ24" s="189"/>
      <c r="ORR24" s="189"/>
      <c r="ORS24" s="189"/>
      <c r="ORT24" s="189"/>
      <c r="ORU24" s="189"/>
      <c r="ORV24" s="189"/>
      <c r="ORW24" s="189"/>
      <c r="ORX24" s="189"/>
      <c r="ORY24" s="189"/>
      <c r="ORZ24" s="189"/>
      <c r="OSA24" s="189"/>
      <c r="OSB24" s="189"/>
      <c r="OSC24" s="189"/>
      <c r="OSD24" s="189"/>
      <c r="OSE24" s="189"/>
      <c r="OSF24" s="189"/>
      <c r="OSG24" s="189"/>
      <c r="OSH24" s="189"/>
      <c r="OSI24" s="189"/>
      <c r="OSJ24" s="189"/>
      <c r="OSK24" s="189"/>
      <c r="OSL24" s="189"/>
      <c r="OSM24" s="189"/>
      <c r="OSN24" s="189"/>
      <c r="OSO24" s="189"/>
      <c r="OSP24" s="189"/>
      <c r="OSQ24" s="189"/>
      <c r="OSR24" s="189"/>
      <c r="OSS24" s="189"/>
      <c r="OST24" s="189"/>
      <c r="OSU24" s="189"/>
      <c r="OSV24" s="189"/>
      <c r="OSW24" s="189"/>
      <c r="OSX24" s="189"/>
      <c r="OSY24" s="189"/>
      <c r="OSZ24" s="189"/>
      <c r="OTA24" s="189"/>
      <c r="OTB24" s="189"/>
      <c r="OTC24" s="189"/>
      <c r="OTD24" s="189"/>
      <c r="OTE24" s="189"/>
      <c r="OTF24" s="189"/>
      <c r="OTG24" s="189"/>
      <c r="OTH24" s="189"/>
      <c r="OTI24" s="189"/>
      <c r="OTJ24" s="189"/>
      <c r="OTK24" s="189"/>
      <c r="OTL24" s="189"/>
      <c r="OTM24" s="189"/>
      <c r="OTN24" s="189"/>
      <c r="OTO24" s="189"/>
      <c r="OTP24" s="189"/>
      <c r="OTQ24" s="189"/>
      <c r="OTR24" s="189"/>
      <c r="OTS24" s="189"/>
      <c r="OTT24" s="189"/>
      <c r="OTU24" s="189"/>
      <c r="OTV24" s="189"/>
      <c r="OTW24" s="189"/>
      <c r="OTX24" s="189"/>
      <c r="OTY24" s="189"/>
      <c r="OTZ24" s="189"/>
      <c r="OUA24" s="189"/>
      <c r="OUB24" s="189"/>
      <c r="OUC24" s="189"/>
      <c r="OUD24" s="189"/>
      <c r="OUE24" s="189"/>
      <c r="OUF24" s="189"/>
      <c r="OUG24" s="189"/>
      <c r="OUH24" s="189"/>
      <c r="OUI24" s="189"/>
      <c r="OUJ24" s="189"/>
      <c r="OUK24" s="189"/>
      <c r="OUL24" s="189"/>
      <c r="OUM24" s="189"/>
      <c r="OUN24" s="189"/>
      <c r="OUO24" s="189"/>
      <c r="OUP24" s="189"/>
      <c r="OUQ24" s="189"/>
      <c r="OUR24" s="189"/>
      <c r="OUS24" s="189"/>
      <c r="OUT24" s="189"/>
      <c r="OUU24" s="189"/>
      <c r="OUV24" s="189"/>
      <c r="OUW24" s="189"/>
      <c r="OUX24" s="189"/>
      <c r="OUY24" s="189"/>
      <c r="OUZ24" s="189"/>
      <c r="OVA24" s="189"/>
      <c r="OVB24" s="189"/>
      <c r="OVC24" s="189"/>
      <c r="OVD24" s="189"/>
      <c r="OVE24" s="189"/>
      <c r="OVF24" s="189"/>
      <c r="OVG24" s="189"/>
      <c r="OVH24" s="189"/>
      <c r="OVI24" s="189"/>
      <c r="OVJ24" s="189"/>
      <c r="OVK24" s="189"/>
      <c r="OVL24" s="189"/>
      <c r="OVM24" s="189"/>
      <c r="OVN24" s="189"/>
      <c r="OVO24" s="189"/>
      <c r="OVP24" s="189"/>
      <c r="OVQ24" s="189"/>
      <c r="OVR24" s="189"/>
      <c r="OVS24" s="189"/>
      <c r="OVT24" s="189"/>
      <c r="OVU24" s="189"/>
      <c r="OVV24" s="189"/>
      <c r="OVW24" s="189"/>
      <c r="OVX24" s="189"/>
      <c r="OVY24" s="189"/>
      <c r="OVZ24" s="189"/>
      <c r="OWA24" s="189"/>
      <c r="OWB24" s="189"/>
      <c r="OWC24" s="189"/>
      <c r="OWD24" s="189"/>
      <c r="OWE24" s="189"/>
      <c r="OWF24" s="189"/>
      <c r="OWG24" s="189"/>
      <c r="OWH24" s="189"/>
      <c r="OWI24" s="189"/>
      <c r="OWJ24" s="189"/>
      <c r="OWK24" s="189"/>
      <c r="OWL24" s="189"/>
      <c r="OWM24" s="189"/>
      <c r="OWN24" s="189"/>
      <c r="OWO24" s="189"/>
      <c r="OWP24" s="189"/>
      <c r="OWQ24" s="189"/>
      <c r="OWR24" s="189"/>
      <c r="OWS24" s="189"/>
      <c r="OWT24" s="189"/>
      <c r="OWU24" s="189"/>
      <c r="OWV24" s="189"/>
      <c r="OWW24" s="189"/>
      <c r="OWX24" s="189"/>
      <c r="OWY24" s="189"/>
      <c r="OWZ24" s="189"/>
      <c r="OXA24" s="189"/>
      <c r="OXB24" s="189"/>
      <c r="OXC24" s="189"/>
      <c r="OXD24" s="189"/>
      <c r="OXE24" s="189"/>
      <c r="OXF24" s="189"/>
      <c r="OXG24" s="189"/>
      <c r="OXH24" s="189"/>
      <c r="OXI24" s="189"/>
      <c r="OXJ24" s="189"/>
      <c r="OXK24" s="189"/>
      <c r="OXL24" s="189"/>
      <c r="OXM24" s="189"/>
      <c r="OXN24" s="189"/>
      <c r="OXO24" s="189"/>
      <c r="OXP24" s="189"/>
      <c r="OXQ24" s="189"/>
      <c r="OXR24" s="189"/>
      <c r="OXS24" s="189"/>
      <c r="OXT24" s="189"/>
      <c r="OXU24" s="189"/>
      <c r="OXV24" s="189"/>
      <c r="OXW24" s="189"/>
      <c r="OXX24" s="189"/>
      <c r="OXY24" s="189"/>
      <c r="OXZ24" s="189"/>
      <c r="OYA24" s="189"/>
      <c r="OYB24" s="189"/>
      <c r="OYC24" s="189"/>
      <c r="OYD24" s="189"/>
      <c r="OYE24" s="189"/>
      <c r="OYF24" s="189"/>
      <c r="OYG24" s="189"/>
      <c r="OYH24" s="189"/>
      <c r="OYI24" s="189"/>
      <c r="OYJ24" s="189"/>
      <c r="OYK24" s="189"/>
      <c r="OYL24" s="189"/>
      <c r="OYM24" s="189"/>
      <c r="OYN24" s="189"/>
      <c r="OYO24" s="189"/>
      <c r="OYP24" s="189"/>
      <c r="OYQ24" s="189"/>
      <c r="OYR24" s="189"/>
      <c r="OYS24" s="189"/>
      <c r="OYT24" s="189"/>
      <c r="OYU24" s="189"/>
      <c r="OYV24" s="189"/>
      <c r="OYW24" s="189"/>
      <c r="OYX24" s="189"/>
      <c r="OYY24" s="189"/>
      <c r="OYZ24" s="189"/>
      <c r="OZA24" s="189"/>
      <c r="OZB24" s="189"/>
      <c r="OZC24" s="189"/>
      <c r="OZD24" s="189"/>
      <c r="OZE24" s="189"/>
      <c r="OZF24" s="189"/>
      <c r="OZG24" s="189"/>
      <c r="OZH24" s="189"/>
      <c r="OZI24" s="189"/>
      <c r="OZJ24" s="189"/>
      <c r="OZK24" s="189"/>
      <c r="OZL24" s="189"/>
      <c r="OZM24" s="189"/>
      <c r="OZN24" s="189"/>
      <c r="OZO24" s="189"/>
      <c r="OZP24" s="189"/>
      <c r="OZQ24" s="189"/>
      <c r="OZR24" s="189"/>
      <c r="OZS24" s="189"/>
      <c r="OZT24" s="189"/>
      <c r="OZU24" s="189"/>
      <c r="OZV24" s="189"/>
      <c r="OZW24" s="189"/>
      <c r="OZX24" s="189"/>
      <c r="OZY24" s="189"/>
      <c r="OZZ24" s="189"/>
      <c r="PAA24" s="189"/>
      <c r="PAB24" s="189"/>
      <c r="PAC24" s="189"/>
      <c r="PAD24" s="189"/>
      <c r="PAE24" s="189"/>
      <c r="PAF24" s="189"/>
      <c r="PAG24" s="189"/>
      <c r="PAH24" s="189"/>
      <c r="PAI24" s="189"/>
      <c r="PAJ24" s="189"/>
      <c r="PAK24" s="189"/>
      <c r="PAL24" s="189"/>
      <c r="PAM24" s="189"/>
      <c r="PAN24" s="189"/>
      <c r="PAO24" s="189"/>
      <c r="PAP24" s="189"/>
      <c r="PAQ24" s="189"/>
      <c r="PAR24" s="189"/>
      <c r="PAS24" s="189"/>
      <c r="PAT24" s="189"/>
      <c r="PAU24" s="189"/>
      <c r="PAV24" s="189"/>
      <c r="PAW24" s="189"/>
      <c r="PAX24" s="189"/>
      <c r="PAY24" s="189"/>
      <c r="PAZ24" s="189"/>
      <c r="PBA24" s="189"/>
      <c r="PBB24" s="189"/>
      <c r="PBC24" s="189"/>
      <c r="PBD24" s="189"/>
      <c r="PBE24" s="189"/>
      <c r="PBF24" s="189"/>
      <c r="PBG24" s="189"/>
      <c r="PBH24" s="189"/>
      <c r="PBI24" s="189"/>
      <c r="PBJ24" s="189"/>
      <c r="PBK24" s="189"/>
      <c r="PBL24" s="189"/>
      <c r="PBM24" s="189"/>
      <c r="PBN24" s="189"/>
      <c r="PBO24" s="189"/>
      <c r="PBP24" s="189"/>
      <c r="PBQ24" s="189"/>
      <c r="PBR24" s="189"/>
      <c r="PBS24" s="189"/>
      <c r="PBT24" s="189"/>
      <c r="PBU24" s="189"/>
      <c r="PBV24" s="189"/>
      <c r="PBW24" s="189"/>
      <c r="PBX24" s="189"/>
      <c r="PBY24" s="189"/>
      <c r="PBZ24" s="189"/>
      <c r="PCA24" s="189"/>
      <c r="PCB24" s="189"/>
      <c r="PCC24" s="189"/>
      <c r="PCD24" s="189"/>
      <c r="PCE24" s="189"/>
      <c r="PCF24" s="189"/>
      <c r="PCG24" s="189"/>
      <c r="PCH24" s="189"/>
      <c r="PCI24" s="189"/>
      <c r="PCJ24" s="189"/>
      <c r="PCK24" s="189"/>
      <c r="PCL24" s="189"/>
      <c r="PCM24" s="189"/>
      <c r="PCN24" s="189"/>
      <c r="PCO24" s="189"/>
      <c r="PCP24" s="189"/>
      <c r="PCQ24" s="189"/>
      <c r="PCR24" s="189"/>
      <c r="PCS24" s="189"/>
      <c r="PCT24" s="189"/>
      <c r="PCU24" s="189"/>
      <c r="PCV24" s="189"/>
      <c r="PCW24" s="189"/>
      <c r="PCX24" s="189"/>
      <c r="PCY24" s="189"/>
      <c r="PCZ24" s="189"/>
      <c r="PDA24" s="189"/>
      <c r="PDB24" s="189"/>
      <c r="PDC24" s="189"/>
      <c r="PDD24" s="189"/>
      <c r="PDE24" s="189"/>
      <c r="PDF24" s="189"/>
      <c r="PDG24" s="189"/>
      <c r="PDH24" s="189"/>
      <c r="PDI24" s="189"/>
      <c r="PDJ24" s="189"/>
      <c r="PDK24" s="189"/>
      <c r="PDL24" s="189"/>
      <c r="PDM24" s="189"/>
      <c r="PDN24" s="189"/>
      <c r="PDO24" s="189"/>
      <c r="PDP24" s="189"/>
      <c r="PDQ24" s="189"/>
      <c r="PDR24" s="189"/>
      <c r="PDS24" s="189"/>
      <c r="PDT24" s="189"/>
      <c r="PDU24" s="189"/>
      <c r="PDV24" s="189"/>
      <c r="PDW24" s="189"/>
      <c r="PDX24" s="189"/>
      <c r="PDY24" s="189"/>
      <c r="PDZ24" s="189"/>
      <c r="PEA24" s="189"/>
      <c r="PEB24" s="189"/>
      <c r="PEC24" s="189"/>
      <c r="PED24" s="189"/>
      <c r="PEE24" s="189"/>
      <c r="PEF24" s="189"/>
      <c r="PEG24" s="189"/>
      <c r="PEH24" s="189"/>
      <c r="PEI24" s="189"/>
      <c r="PEJ24" s="189"/>
      <c r="PEK24" s="189"/>
      <c r="PEL24" s="189"/>
      <c r="PEM24" s="189"/>
      <c r="PEN24" s="189"/>
      <c r="PEO24" s="189"/>
      <c r="PEP24" s="189"/>
      <c r="PEQ24" s="189"/>
      <c r="PER24" s="189"/>
      <c r="PES24" s="189"/>
      <c r="PET24" s="189"/>
      <c r="PEU24" s="189"/>
      <c r="PEV24" s="189"/>
      <c r="PEW24" s="189"/>
      <c r="PEX24" s="189"/>
      <c r="PEY24" s="189"/>
      <c r="PEZ24" s="189"/>
      <c r="PFA24" s="189"/>
      <c r="PFB24" s="189"/>
      <c r="PFC24" s="189"/>
      <c r="PFD24" s="189"/>
      <c r="PFE24" s="189"/>
      <c r="PFF24" s="189"/>
      <c r="PFG24" s="189"/>
      <c r="PFH24" s="189"/>
      <c r="PFI24" s="189"/>
      <c r="PFJ24" s="189"/>
      <c r="PFK24" s="189"/>
      <c r="PFL24" s="189"/>
      <c r="PFM24" s="189"/>
      <c r="PFN24" s="189"/>
      <c r="PFO24" s="189"/>
      <c r="PFP24" s="189"/>
      <c r="PFQ24" s="189"/>
      <c r="PFR24" s="189"/>
      <c r="PFS24" s="189"/>
      <c r="PFT24" s="189"/>
      <c r="PFU24" s="189"/>
      <c r="PFV24" s="189"/>
      <c r="PFW24" s="189"/>
      <c r="PFX24" s="189"/>
      <c r="PFY24" s="189"/>
      <c r="PFZ24" s="189"/>
      <c r="PGA24" s="189"/>
      <c r="PGB24" s="189"/>
      <c r="PGC24" s="189"/>
      <c r="PGD24" s="189"/>
      <c r="PGE24" s="189"/>
      <c r="PGF24" s="189"/>
      <c r="PGG24" s="189"/>
      <c r="PGH24" s="189"/>
      <c r="PGI24" s="189"/>
      <c r="PGJ24" s="189"/>
      <c r="PGK24" s="189"/>
      <c r="PGL24" s="189"/>
      <c r="PGM24" s="189"/>
      <c r="PGN24" s="189"/>
      <c r="PGO24" s="189"/>
      <c r="PGP24" s="189"/>
      <c r="PGQ24" s="189"/>
      <c r="PGR24" s="189"/>
      <c r="PGS24" s="189"/>
      <c r="PGT24" s="189"/>
      <c r="PGU24" s="189"/>
      <c r="PGV24" s="189"/>
      <c r="PGW24" s="189"/>
      <c r="PGX24" s="189"/>
      <c r="PGY24" s="189"/>
      <c r="PGZ24" s="189"/>
      <c r="PHA24" s="189"/>
      <c r="PHB24" s="189"/>
      <c r="PHC24" s="189"/>
      <c r="PHD24" s="189"/>
      <c r="PHE24" s="189"/>
      <c r="PHF24" s="189"/>
      <c r="PHG24" s="189"/>
      <c r="PHH24" s="189"/>
      <c r="PHI24" s="189"/>
      <c r="PHJ24" s="189"/>
      <c r="PHK24" s="189"/>
      <c r="PHL24" s="189"/>
      <c r="PHM24" s="189"/>
      <c r="PHN24" s="189"/>
      <c r="PHO24" s="189"/>
      <c r="PHP24" s="189"/>
      <c r="PHQ24" s="189"/>
      <c r="PHR24" s="189"/>
      <c r="PHS24" s="189"/>
      <c r="PHT24" s="189"/>
      <c r="PHU24" s="189"/>
      <c r="PHV24" s="189"/>
      <c r="PHW24" s="189"/>
      <c r="PHX24" s="189"/>
      <c r="PHY24" s="189"/>
      <c r="PHZ24" s="189"/>
      <c r="PIA24" s="189"/>
      <c r="PIB24" s="189"/>
      <c r="PIC24" s="189"/>
      <c r="PID24" s="189"/>
      <c r="PIE24" s="189"/>
      <c r="PIF24" s="189"/>
      <c r="PIG24" s="189"/>
      <c r="PIH24" s="189"/>
      <c r="PII24" s="189"/>
      <c r="PIJ24" s="189"/>
      <c r="PIK24" s="189"/>
      <c r="PIL24" s="189"/>
      <c r="PIM24" s="189"/>
      <c r="PIN24" s="189"/>
      <c r="PIO24" s="189"/>
      <c r="PIP24" s="189"/>
      <c r="PIQ24" s="189"/>
      <c r="PIR24" s="189"/>
      <c r="PIS24" s="189"/>
      <c r="PIT24" s="189"/>
      <c r="PIU24" s="189"/>
      <c r="PIV24" s="189"/>
      <c r="PIW24" s="189"/>
      <c r="PIX24" s="189"/>
      <c r="PIY24" s="189"/>
      <c r="PIZ24" s="189"/>
      <c r="PJA24" s="189"/>
      <c r="PJB24" s="189"/>
      <c r="PJC24" s="189"/>
      <c r="PJD24" s="189"/>
      <c r="PJE24" s="189"/>
      <c r="PJF24" s="189"/>
      <c r="PJG24" s="189"/>
      <c r="PJH24" s="189"/>
      <c r="PJI24" s="189"/>
      <c r="PJJ24" s="189"/>
      <c r="PJK24" s="189"/>
      <c r="PJL24" s="189"/>
      <c r="PJM24" s="189"/>
      <c r="PJN24" s="189"/>
      <c r="PJO24" s="189"/>
      <c r="PJP24" s="189"/>
      <c r="PJQ24" s="189"/>
      <c r="PJR24" s="189"/>
      <c r="PJS24" s="189"/>
      <c r="PJT24" s="189"/>
      <c r="PJU24" s="189"/>
      <c r="PJV24" s="189"/>
      <c r="PJW24" s="189"/>
      <c r="PJX24" s="189"/>
      <c r="PJY24" s="189"/>
      <c r="PJZ24" s="189"/>
      <c r="PKA24" s="189"/>
      <c r="PKB24" s="189"/>
      <c r="PKC24" s="189"/>
      <c r="PKD24" s="189"/>
      <c r="PKE24" s="189"/>
      <c r="PKF24" s="189"/>
      <c r="PKG24" s="189"/>
      <c r="PKH24" s="189"/>
      <c r="PKI24" s="189"/>
      <c r="PKJ24" s="189"/>
      <c r="PKK24" s="189"/>
      <c r="PKL24" s="189"/>
      <c r="PKM24" s="189"/>
      <c r="PKN24" s="189"/>
      <c r="PKO24" s="189"/>
      <c r="PKP24" s="189"/>
      <c r="PKQ24" s="189"/>
      <c r="PKR24" s="189"/>
      <c r="PKS24" s="189"/>
      <c r="PKT24" s="189"/>
      <c r="PKU24" s="189"/>
      <c r="PKV24" s="189"/>
      <c r="PKW24" s="189"/>
      <c r="PKX24" s="189"/>
      <c r="PKY24" s="189"/>
      <c r="PKZ24" s="189"/>
      <c r="PLA24" s="189"/>
      <c r="PLB24" s="189"/>
      <c r="PLC24" s="189"/>
      <c r="PLD24" s="189"/>
      <c r="PLE24" s="189"/>
      <c r="PLF24" s="189"/>
      <c r="PLG24" s="189"/>
      <c r="PLH24" s="189"/>
      <c r="PLI24" s="189"/>
      <c r="PLJ24" s="189"/>
      <c r="PLK24" s="189"/>
      <c r="PLL24" s="189"/>
      <c r="PLM24" s="189"/>
      <c r="PLN24" s="189"/>
      <c r="PLO24" s="189"/>
      <c r="PLP24" s="189"/>
      <c r="PLQ24" s="189"/>
      <c r="PLR24" s="189"/>
      <c r="PLS24" s="189"/>
      <c r="PLT24" s="189"/>
      <c r="PLU24" s="189"/>
      <c r="PLV24" s="189"/>
      <c r="PLW24" s="189"/>
      <c r="PLX24" s="189"/>
      <c r="PLY24" s="189"/>
      <c r="PLZ24" s="189"/>
      <c r="PMA24" s="189"/>
      <c r="PMB24" s="189"/>
      <c r="PMC24" s="189"/>
      <c r="PMD24" s="189"/>
      <c r="PME24" s="189"/>
      <c r="PMF24" s="189"/>
      <c r="PMG24" s="189"/>
      <c r="PMH24" s="189"/>
      <c r="PMI24" s="189"/>
      <c r="PMJ24" s="189"/>
      <c r="PMK24" s="189"/>
      <c r="PML24" s="189"/>
      <c r="PMM24" s="189"/>
      <c r="PMN24" s="189"/>
      <c r="PMO24" s="189"/>
      <c r="PMP24" s="189"/>
      <c r="PMQ24" s="189"/>
      <c r="PMR24" s="189"/>
      <c r="PMS24" s="189"/>
      <c r="PMT24" s="189"/>
      <c r="PMU24" s="189"/>
      <c r="PMV24" s="189"/>
      <c r="PMW24" s="189"/>
      <c r="PMX24" s="189"/>
      <c r="PMY24" s="189"/>
      <c r="PMZ24" s="189"/>
      <c r="PNA24" s="189"/>
      <c r="PNB24" s="189"/>
      <c r="PNC24" s="189"/>
      <c r="PND24" s="189"/>
      <c r="PNE24" s="189"/>
      <c r="PNF24" s="189"/>
      <c r="PNG24" s="189"/>
      <c r="PNH24" s="189"/>
      <c r="PNI24" s="189"/>
      <c r="PNJ24" s="189"/>
      <c r="PNK24" s="189"/>
      <c r="PNL24" s="189"/>
      <c r="PNM24" s="189"/>
      <c r="PNN24" s="189"/>
      <c r="PNO24" s="189"/>
      <c r="PNP24" s="189"/>
      <c r="PNQ24" s="189"/>
      <c r="PNR24" s="189"/>
      <c r="PNS24" s="189"/>
      <c r="PNT24" s="189"/>
      <c r="PNU24" s="189"/>
      <c r="PNV24" s="189"/>
      <c r="PNW24" s="189"/>
      <c r="PNX24" s="189"/>
      <c r="PNY24" s="189"/>
      <c r="PNZ24" s="189"/>
      <c r="POA24" s="189"/>
      <c r="POB24" s="189"/>
      <c r="POC24" s="189"/>
      <c r="POD24" s="189"/>
      <c r="POE24" s="189"/>
      <c r="POF24" s="189"/>
      <c r="POG24" s="189"/>
      <c r="POH24" s="189"/>
      <c r="POI24" s="189"/>
      <c r="POJ24" s="189"/>
      <c r="POK24" s="189"/>
      <c r="POL24" s="189"/>
      <c r="POM24" s="189"/>
      <c r="PON24" s="189"/>
      <c r="POO24" s="189"/>
      <c r="POP24" s="189"/>
      <c r="POQ24" s="189"/>
      <c r="POR24" s="189"/>
      <c r="POS24" s="189"/>
      <c r="POT24" s="189"/>
      <c r="POU24" s="189"/>
      <c r="POV24" s="189"/>
      <c r="POW24" s="189"/>
      <c r="POX24" s="189"/>
      <c r="POY24" s="189"/>
      <c r="POZ24" s="189"/>
      <c r="PPA24" s="189"/>
      <c r="PPB24" s="189"/>
      <c r="PPC24" s="189"/>
      <c r="PPD24" s="189"/>
      <c r="PPE24" s="189"/>
      <c r="PPF24" s="189"/>
      <c r="PPG24" s="189"/>
      <c r="PPH24" s="189"/>
      <c r="PPI24" s="189"/>
      <c r="PPJ24" s="189"/>
      <c r="PPK24" s="189"/>
      <c r="PPL24" s="189"/>
      <c r="PPM24" s="189"/>
      <c r="PPN24" s="189"/>
      <c r="PPO24" s="189"/>
      <c r="PPP24" s="189"/>
      <c r="PPQ24" s="189"/>
      <c r="PPR24" s="189"/>
      <c r="PPS24" s="189"/>
      <c r="PPT24" s="189"/>
      <c r="PPU24" s="189"/>
      <c r="PPV24" s="189"/>
      <c r="PPW24" s="189"/>
      <c r="PPX24" s="189"/>
      <c r="PPY24" s="189"/>
      <c r="PPZ24" s="189"/>
      <c r="PQA24" s="189"/>
      <c r="PQB24" s="189"/>
      <c r="PQC24" s="189"/>
      <c r="PQD24" s="189"/>
      <c r="PQE24" s="189"/>
      <c r="PQF24" s="189"/>
      <c r="PQG24" s="189"/>
      <c r="PQH24" s="189"/>
      <c r="PQI24" s="189"/>
      <c r="PQJ24" s="189"/>
      <c r="PQK24" s="189"/>
      <c r="PQL24" s="189"/>
      <c r="PQM24" s="189"/>
      <c r="PQN24" s="189"/>
      <c r="PQO24" s="189"/>
      <c r="PQP24" s="189"/>
      <c r="PQQ24" s="189"/>
      <c r="PQR24" s="189"/>
      <c r="PQS24" s="189"/>
      <c r="PQT24" s="189"/>
      <c r="PQU24" s="189"/>
      <c r="PQV24" s="189"/>
      <c r="PQW24" s="189"/>
      <c r="PQX24" s="189"/>
      <c r="PQY24" s="189"/>
      <c r="PQZ24" s="189"/>
      <c r="PRA24" s="189"/>
      <c r="PRB24" s="189"/>
      <c r="PRC24" s="189"/>
      <c r="PRD24" s="189"/>
      <c r="PRE24" s="189"/>
      <c r="PRF24" s="189"/>
      <c r="PRG24" s="189"/>
      <c r="PRH24" s="189"/>
      <c r="PRI24" s="189"/>
      <c r="PRJ24" s="189"/>
      <c r="PRK24" s="189"/>
      <c r="PRL24" s="189"/>
      <c r="PRM24" s="189"/>
      <c r="PRN24" s="189"/>
      <c r="PRO24" s="189"/>
      <c r="PRP24" s="189"/>
      <c r="PRQ24" s="189"/>
      <c r="PRR24" s="189"/>
      <c r="PRS24" s="189"/>
      <c r="PRT24" s="189"/>
      <c r="PRU24" s="189"/>
      <c r="PRV24" s="189"/>
      <c r="PRW24" s="189"/>
      <c r="PRX24" s="189"/>
      <c r="PRY24" s="189"/>
      <c r="PRZ24" s="189"/>
      <c r="PSA24" s="189"/>
      <c r="PSB24" s="189"/>
      <c r="PSC24" s="189"/>
      <c r="PSD24" s="189"/>
      <c r="PSE24" s="189"/>
      <c r="PSF24" s="189"/>
      <c r="PSG24" s="189"/>
      <c r="PSH24" s="189"/>
      <c r="PSI24" s="189"/>
      <c r="PSJ24" s="189"/>
      <c r="PSK24" s="189"/>
      <c r="PSL24" s="189"/>
      <c r="PSM24" s="189"/>
      <c r="PSN24" s="189"/>
      <c r="PSO24" s="189"/>
      <c r="PSP24" s="189"/>
      <c r="PSQ24" s="189"/>
      <c r="PSR24" s="189"/>
      <c r="PSS24" s="189"/>
      <c r="PST24" s="189"/>
      <c r="PSU24" s="189"/>
      <c r="PSV24" s="189"/>
      <c r="PSW24" s="189"/>
      <c r="PSX24" s="189"/>
      <c r="PSY24" s="189"/>
      <c r="PSZ24" s="189"/>
      <c r="PTA24" s="189"/>
      <c r="PTB24" s="189"/>
      <c r="PTC24" s="189"/>
      <c r="PTD24" s="189"/>
      <c r="PTE24" s="189"/>
      <c r="PTF24" s="189"/>
      <c r="PTG24" s="189"/>
      <c r="PTH24" s="189"/>
      <c r="PTI24" s="189"/>
      <c r="PTJ24" s="189"/>
      <c r="PTK24" s="189"/>
      <c r="PTL24" s="189"/>
      <c r="PTM24" s="189"/>
      <c r="PTN24" s="189"/>
      <c r="PTO24" s="189"/>
      <c r="PTP24" s="189"/>
      <c r="PTQ24" s="189"/>
      <c r="PTR24" s="189"/>
      <c r="PTS24" s="189"/>
      <c r="PTT24" s="189"/>
      <c r="PTU24" s="189"/>
      <c r="PTV24" s="189"/>
      <c r="PTW24" s="189"/>
      <c r="PTX24" s="189"/>
      <c r="PTY24" s="189"/>
      <c r="PTZ24" s="189"/>
      <c r="PUA24" s="189"/>
      <c r="PUB24" s="189"/>
      <c r="PUC24" s="189"/>
      <c r="PUD24" s="189"/>
      <c r="PUE24" s="189"/>
      <c r="PUF24" s="189"/>
      <c r="PUG24" s="189"/>
      <c r="PUH24" s="189"/>
      <c r="PUI24" s="189"/>
      <c r="PUJ24" s="189"/>
      <c r="PUK24" s="189"/>
      <c r="PUL24" s="189"/>
      <c r="PUM24" s="189"/>
      <c r="PUN24" s="189"/>
      <c r="PUO24" s="189"/>
      <c r="PUP24" s="189"/>
      <c r="PUQ24" s="189"/>
      <c r="PUR24" s="189"/>
      <c r="PUS24" s="189"/>
      <c r="PUT24" s="189"/>
      <c r="PUU24" s="189"/>
      <c r="PUV24" s="189"/>
      <c r="PUW24" s="189"/>
      <c r="PUX24" s="189"/>
      <c r="PUY24" s="189"/>
      <c r="PUZ24" s="189"/>
      <c r="PVA24" s="189"/>
      <c r="PVB24" s="189"/>
      <c r="PVC24" s="189"/>
      <c r="PVD24" s="189"/>
      <c r="PVE24" s="189"/>
      <c r="PVF24" s="189"/>
      <c r="PVG24" s="189"/>
      <c r="PVH24" s="189"/>
      <c r="PVI24" s="189"/>
      <c r="PVJ24" s="189"/>
      <c r="PVK24" s="189"/>
      <c r="PVL24" s="189"/>
      <c r="PVM24" s="189"/>
      <c r="PVN24" s="189"/>
      <c r="PVO24" s="189"/>
      <c r="PVP24" s="189"/>
      <c r="PVQ24" s="189"/>
      <c r="PVR24" s="189"/>
      <c r="PVS24" s="189"/>
      <c r="PVT24" s="189"/>
      <c r="PVU24" s="189"/>
      <c r="PVV24" s="189"/>
      <c r="PVW24" s="189"/>
      <c r="PVX24" s="189"/>
      <c r="PVY24" s="189"/>
      <c r="PVZ24" s="189"/>
      <c r="PWA24" s="189"/>
      <c r="PWB24" s="189"/>
      <c r="PWC24" s="189"/>
      <c r="PWD24" s="189"/>
      <c r="PWE24" s="189"/>
      <c r="PWF24" s="189"/>
      <c r="PWG24" s="189"/>
      <c r="PWH24" s="189"/>
      <c r="PWI24" s="189"/>
      <c r="PWJ24" s="189"/>
      <c r="PWK24" s="189"/>
      <c r="PWL24" s="189"/>
      <c r="PWM24" s="189"/>
      <c r="PWN24" s="189"/>
      <c r="PWO24" s="189"/>
      <c r="PWP24" s="189"/>
      <c r="PWQ24" s="189"/>
      <c r="PWR24" s="189"/>
      <c r="PWS24" s="189"/>
      <c r="PWT24" s="189"/>
      <c r="PWU24" s="189"/>
      <c r="PWV24" s="189"/>
      <c r="PWW24" s="189"/>
      <c r="PWX24" s="189"/>
      <c r="PWY24" s="189"/>
      <c r="PWZ24" s="189"/>
      <c r="PXA24" s="189"/>
      <c r="PXB24" s="189"/>
      <c r="PXC24" s="189"/>
      <c r="PXD24" s="189"/>
      <c r="PXE24" s="189"/>
      <c r="PXF24" s="189"/>
      <c r="PXG24" s="189"/>
      <c r="PXH24" s="189"/>
      <c r="PXI24" s="189"/>
      <c r="PXJ24" s="189"/>
      <c r="PXK24" s="189"/>
      <c r="PXL24" s="189"/>
      <c r="PXM24" s="189"/>
      <c r="PXN24" s="189"/>
      <c r="PXO24" s="189"/>
      <c r="PXP24" s="189"/>
      <c r="PXQ24" s="189"/>
      <c r="PXR24" s="189"/>
      <c r="PXS24" s="189"/>
      <c r="PXT24" s="189"/>
      <c r="PXU24" s="189"/>
      <c r="PXV24" s="189"/>
      <c r="PXW24" s="189"/>
      <c r="PXX24" s="189"/>
      <c r="PXY24" s="189"/>
      <c r="PXZ24" s="189"/>
      <c r="PYA24" s="189"/>
      <c r="PYB24" s="189"/>
      <c r="PYC24" s="189"/>
      <c r="PYD24" s="189"/>
      <c r="PYE24" s="189"/>
      <c r="PYF24" s="189"/>
      <c r="PYG24" s="189"/>
      <c r="PYH24" s="189"/>
      <c r="PYI24" s="189"/>
      <c r="PYJ24" s="189"/>
      <c r="PYK24" s="189"/>
      <c r="PYL24" s="189"/>
      <c r="PYM24" s="189"/>
      <c r="PYN24" s="189"/>
      <c r="PYO24" s="189"/>
      <c r="PYP24" s="189"/>
      <c r="PYQ24" s="189"/>
      <c r="PYR24" s="189"/>
      <c r="PYS24" s="189"/>
      <c r="PYT24" s="189"/>
      <c r="PYU24" s="189"/>
      <c r="PYV24" s="189"/>
      <c r="PYW24" s="189"/>
      <c r="PYX24" s="189"/>
      <c r="PYY24" s="189"/>
      <c r="PYZ24" s="189"/>
      <c r="PZA24" s="189"/>
      <c r="PZB24" s="189"/>
      <c r="PZC24" s="189"/>
      <c r="PZD24" s="189"/>
      <c r="PZE24" s="189"/>
      <c r="PZF24" s="189"/>
      <c r="PZG24" s="189"/>
      <c r="PZH24" s="189"/>
      <c r="PZI24" s="189"/>
      <c r="PZJ24" s="189"/>
      <c r="PZK24" s="189"/>
      <c r="PZL24" s="189"/>
      <c r="PZM24" s="189"/>
      <c r="PZN24" s="189"/>
      <c r="PZO24" s="189"/>
      <c r="PZP24" s="189"/>
      <c r="PZQ24" s="189"/>
      <c r="PZR24" s="189"/>
      <c r="PZS24" s="189"/>
      <c r="PZT24" s="189"/>
      <c r="PZU24" s="189"/>
      <c r="PZV24" s="189"/>
      <c r="PZW24" s="189"/>
      <c r="PZX24" s="189"/>
      <c r="PZY24" s="189"/>
      <c r="PZZ24" s="189"/>
      <c r="QAA24" s="189"/>
      <c r="QAB24" s="189"/>
      <c r="QAC24" s="189"/>
      <c r="QAD24" s="189"/>
      <c r="QAE24" s="189"/>
      <c r="QAF24" s="189"/>
      <c r="QAG24" s="189"/>
      <c r="QAH24" s="189"/>
      <c r="QAI24" s="189"/>
      <c r="QAJ24" s="189"/>
      <c r="QAK24" s="189"/>
      <c r="QAL24" s="189"/>
      <c r="QAM24" s="189"/>
      <c r="QAN24" s="189"/>
      <c r="QAO24" s="189"/>
      <c r="QAP24" s="189"/>
      <c r="QAQ24" s="189"/>
      <c r="QAR24" s="189"/>
      <c r="QAS24" s="189"/>
      <c r="QAT24" s="189"/>
      <c r="QAU24" s="189"/>
      <c r="QAV24" s="189"/>
      <c r="QAW24" s="189"/>
      <c r="QAX24" s="189"/>
      <c r="QAY24" s="189"/>
      <c r="QAZ24" s="189"/>
      <c r="QBA24" s="189"/>
      <c r="QBB24" s="189"/>
      <c r="QBC24" s="189"/>
      <c r="QBD24" s="189"/>
      <c r="QBE24" s="189"/>
      <c r="QBF24" s="189"/>
      <c r="QBG24" s="189"/>
      <c r="QBH24" s="189"/>
      <c r="QBI24" s="189"/>
      <c r="QBJ24" s="189"/>
      <c r="QBK24" s="189"/>
      <c r="QBL24" s="189"/>
      <c r="QBM24" s="189"/>
      <c r="QBN24" s="189"/>
      <c r="QBO24" s="189"/>
      <c r="QBP24" s="189"/>
      <c r="QBQ24" s="189"/>
      <c r="QBR24" s="189"/>
      <c r="QBS24" s="189"/>
      <c r="QBT24" s="189"/>
      <c r="QBU24" s="189"/>
      <c r="QBV24" s="189"/>
      <c r="QBW24" s="189"/>
      <c r="QBX24" s="189"/>
      <c r="QBY24" s="189"/>
      <c r="QBZ24" s="189"/>
      <c r="QCA24" s="189"/>
      <c r="QCB24" s="189"/>
      <c r="QCC24" s="189"/>
      <c r="QCD24" s="189"/>
      <c r="QCE24" s="189"/>
      <c r="QCF24" s="189"/>
      <c r="QCG24" s="189"/>
      <c r="QCH24" s="189"/>
      <c r="QCI24" s="189"/>
      <c r="QCJ24" s="189"/>
      <c r="QCK24" s="189"/>
      <c r="QCL24" s="189"/>
      <c r="QCM24" s="189"/>
      <c r="QCN24" s="189"/>
      <c r="QCO24" s="189"/>
      <c r="QCP24" s="189"/>
      <c r="QCQ24" s="189"/>
      <c r="QCR24" s="189"/>
      <c r="QCS24" s="189"/>
      <c r="QCT24" s="189"/>
      <c r="QCU24" s="189"/>
      <c r="QCV24" s="189"/>
      <c r="QCW24" s="189"/>
      <c r="QCX24" s="189"/>
      <c r="QCY24" s="189"/>
      <c r="QCZ24" s="189"/>
      <c r="QDA24" s="189"/>
      <c r="QDB24" s="189"/>
      <c r="QDC24" s="189"/>
      <c r="QDD24" s="189"/>
      <c r="QDE24" s="189"/>
      <c r="QDF24" s="189"/>
      <c r="QDG24" s="189"/>
      <c r="QDH24" s="189"/>
      <c r="QDI24" s="189"/>
      <c r="QDJ24" s="189"/>
      <c r="QDK24" s="189"/>
      <c r="QDL24" s="189"/>
      <c r="QDM24" s="189"/>
      <c r="QDN24" s="189"/>
      <c r="QDO24" s="189"/>
      <c r="QDP24" s="189"/>
      <c r="QDQ24" s="189"/>
      <c r="QDR24" s="189"/>
      <c r="QDS24" s="189"/>
      <c r="QDT24" s="189"/>
      <c r="QDU24" s="189"/>
      <c r="QDV24" s="189"/>
      <c r="QDW24" s="189"/>
      <c r="QDX24" s="189"/>
      <c r="QDY24" s="189"/>
      <c r="QDZ24" s="189"/>
      <c r="QEA24" s="189"/>
      <c r="QEB24" s="189"/>
      <c r="QEC24" s="189"/>
      <c r="QED24" s="189"/>
      <c r="QEE24" s="189"/>
      <c r="QEF24" s="189"/>
      <c r="QEG24" s="189"/>
      <c r="QEH24" s="189"/>
      <c r="QEI24" s="189"/>
      <c r="QEJ24" s="189"/>
      <c r="QEK24" s="189"/>
      <c r="QEL24" s="189"/>
      <c r="QEM24" s="189"/>
      <c r="QEN24" s="189"/>
      <c r="QEO24" s="189"/>
      <c r="QEP24" s="189"/>
      <c r="QEQ24" s="189"/>
      <c r="QER24" s="189"/>
      <c r="QES24" s="189"/>
      <c r="QET24" s="189"/>
      <c r="QEU24" s="189"/>
      <c r="QEV24" s="189"/>
      <c r="QEW24" s="189"/>
      <c r="QEX24" s="189"/>
      <c r="QEY24" s="189"/>
      <c r="QEZ24" s="189"/>
      <c r="QFA24" s="189"/>
      <c r="QFB24" s="189"/>
      <c r="QFC24" s="189"/>
      <c r="QFD24" s="189"/>
      <c r="QFE24" s="189"/>
      <c r="QFF24" s="189"/>
      <c r="QFG24" s="189"/>
      <c r="QFH24" s="189"/>
      <c r="QFI24" s="189"/>
      <c r="QFJ24" s="189"/>
      <c r="QFK24" s="189"/>
      <c r="QFL24" s="189"/>
      <c r="QFM24" s="189"/>
      <c r="QFN24" s="189"/>
      <c r="QFO24" s="189"/>
      <c r="QFP24" s="189"/>
      <c r="QFQ24" s="189"/>
      <c r="QFR24" s="189"/>
      <c r="QFS24" s="189"/>
      <c r="QFT24" s="189"/>
      <c r="QFU24" s="189"/>
      <c r="QFV24" s="189"/>
      <c r="QFW24" s="189"/>
      <c r="QFX24" s="189"/>
      <c r="QFY24" s="189"/>
      <c r="QFZ24" s="189"/>
      <c r="QGA24" s="189"/>
      <c r="QGB24" s="189"/>
      <c r="QGC24" s="189"/>
      <c r="QGD24" s="189"/>
      <c r="QGE24" s="189"/>
      <c r="QGF24" s="189"/>
      <c r="QGG24" s="189"/>
      <c r="QGH24" s="189"/>
      <c r="QGI24" s="189"/>
      <c r="QGJ24" s="189"/>
      <c r="QGK24" s="189"/>
      <c r="QGL24" s="189"/>
      <c r="QGM24" s="189"/>
      <c r="QGN24" s="189"/>
      <c r="QGO24" s="189"/>
      <c r="QGP24" s="189"/>
      <c r="QGQ24" s="189"/>
      <c r="QGR24" s="189"/>
      <c r="QGS24" s="189"/>
      <c r="QGT24" s="189"/>
      <c r="QGU24" s="189"/>
      <c r="QGV24" s="189"/>
      <c r="QGW24" s="189"/>
      <c r="QGX24" s="189"/>
      <c r="QGY24" s="189"/>
      <c r="QGZ24" s="189"/>
      <c r="QHA24" s="189"/>
      <c r="QHB24" s="189"/>
      <c r="QHC24" s="189"/>
      <c r="QHD24" s="189"/>
      <c r="QHE24" s="189"/>
      <c r="QHF24" s="189"/>
      <c r="QHG24" s="189"/>
      <c r="QHH24" s="189"/>
      <c r="QHI24" s="189"/>
      <c r="QHJ24" s="189"/>
      <c r="QHK24" s="189"/>
      <c r="QHL24" s="189"/>
      <c r="QHM24" s="189"/>
      <c r="QHN24" s="189"/>
      <c r="QHO24" s="189"/>
      <c r="QHP24" s="189"/>
      <c r="QHQ24" s="189"/>
      <c r="QHR24" s="189"/>
      <c r="QHS24" s="189"/>
      <c r="QHT24" s="189"/>
      <c r="QHU24" s="189"/>
      <c r="QHV24" s="189"/>
      <c r="QHW24" s="189"/>
      <c r="QHX24" s="189"/>
      <c r="QHY24" s="189"/>
      <c r="QHZ24" s="189"/>
      <c r="QIA24" s="189"/>
      <c r="QIB24" s="189"/>
      <c r="QIC24" s="189"/>
      <c r="QID24" s="189"/>
      <c r="QIE24" s="189"/>
      <c r="QIF24" s="189"/>
      <c r="QIG24" s="189"/>
      <c r="QIH24" s="189"/>
      <c r="QII24" s="189"/>
      <c r="QIJ24" s="189"/>
      <c r="QIK24" s="189"/>
      <c r="QIL24" s="189"/>
      <c r="QIM24" s="189"/>
      <c r="QIN24" s="189"/>
      <c r="QIO24" s="189"/>
      <c r="QIP24" s="189"/>
      <c r="QIQ24" s="189"/>
      <c r="QIR24" s="189"/>
      <c r="QIS24" s="189"/>
      <c r="QIT24" s="189"/>
      <c r="QIU24" s="189"/>
      <c r="QIV24" s="189"/>
      <c r="QIW24" s="189"/>
      <c r="QIX24" s="189"/>
      <c r="QIY24" s="189"/>
      <c r="QIZ24" s="189"/>
      <c r="QJA24" s="189"/>
      <c r="QJB24" s="189"/>
      <c r="QJC24" s="189"/>
      <c r="QJD24" s="189"/>
      <c r="QJE24" s="189"/>
      <c r="QJF24" s="189"/>
      <c r="QJG24" s="189"/>
      <c r="QJH24" s="189"/>
      <c r="QJI24" s="189"/>
      <c r="QJJ24" s="189"/>
      <c r="QJK24" s="189"/>
      <c r="QJL24" s="189"/>
      <c r="QJM24" s="189"/>
      <c r="QJN24" s="189"/>
      <c r="QJO24" s="189"/>
      <c r="QJP24" s="189"/>
      <c r="QJQ24" s="189"/>
      <c r="QJR24" s="189"/>
      <c r="QJS24" s="189"/>
      <c r="QJT24" s="189"/>
      <c r="QJU24" s="189"/>
      <c r="QJV24" s="189"/>
      <c r="QJW24" s="189"/>
      <c r="QJX24" s="189"/>
      <c r="QJY24" s="189"/>
      <c r="QJZ24" s="189"/>
      <c r="QKA24" s="189"/>
      <c r="QKB24" s="189"/>
      <c r="QKC24" s="189"/>
      <c r="QKD24" s="189"/>
      <c r="QKE24" s="189"/>
      <c r="QKF24" s="189"/>
      <c r="QKG24" s="189"/>
      <c r="QKH24" s="189"/>
      <c r="QKI24" s="189"/>
      <c r="QKJ24" s="189"/>
      <c r="QKK24" s="189"/>
      <c r="QKL24" s="189"/>
      <c r="QKM24" s="189"/>
      <c r="QKN24" s="189"/>
      <c r="QKO24" s="189"/>
      <c r="QKP24" s="189"/>
      <c r="QKQ24" s="189"/>
      <c r="QKR24" s="189"/>
      <c r="QKS24" s="189"/>
      <c r="QKT24" s="189"/>
      <c r="QKU24" s="189"/>
      <c r="QKV24" s="189"/>
      <c r="QKW24" s="189"/>
      <c r="QKX24" s="189"/>
      <c r="QKY24" s="189"/>
      <c r="QKZ24" s="189"/>
      <c r="QLA24" s="189"/>
      <c r="QLB24" s="189"/>
      <c r="QLC24" s="189"/>
      <c r="QLD24" s="189"/>
      <c r="QLE24" s="189"/>
      <c r="QLF24" s="189"/>
      <c r="QLG24" s="189"/>
      <c r="QLH24" s="189"/>
      <c r="QLI24" s="189"/>
      <c r="QLJ24" s="189"/>
      <c r="QLK24" s="189"/>
      <c r="QLL24" s="189"/>
      <c r="QLM24" s="189"/>
      <c r="QLN24" s="189"/>
      <c r="QLO24" s="189"/>
      <c r="QLP24" s="189"/>
      <c r="QLQ24" s="189"/>
      <c r="QLR24" s="189"/>
      <c r="QLS24" s="189"/>
      <c r="QLT24" s="189"/>
      <c r="QLU24" s="189"/>
      <c r="QLV24" s="189"/>
      <c r="QLW24" s="189"/>
      <c r="QLX24" s="189"/>
      <c r="QLY24" s="189"/>
      <c r="QLZ24" s="189"/>
      <c r="QMA24" s="189"/>
      <c r="QMB24" s="189"/>
      <c r="QMC24" s="189"/>
      <c r="QMD24" s="189"/>
      <c r="QME24" s="189"/>
      <c r="QMF24" s="189"/>
      <c r="QMG24" s="189"/>
      <c r="QMH24" s="189"/>
      <c r="QMI24" s="189"/>
      <c r="QMJ24" s="189"/>
      <c r="QMK24" s="189"/>
      <c r="QML24" s="189"/>
      <c r="QMM24" s="189"/>
      <c r="QMN24" s="189"/>
      <c r="QMO24" s="189"/>
      <c r="QMP24" s="189"/>
      <c r="QMQ24" s="189"/>
      <c r="QMR24" s="189"/>
      <c r="QMS24" s="189"/>
      <c r="QMT24" s="189"/>
      <c r="QMU24" s="189"/>
      <c r="QMV24" s="189"/>
      <c r="QMW24" s="189"/>
      <c r="QMX24" s="189"/>
      <c r="QMY24" s="189"/>
      <c r="QMZ24" s="189"/>
      <c r="QNA24" s="189"/>
      <c r="QNB24" s="189"/>
      <c r="QNC24" s="189"/>
      <c r="QND24" s="189"/>
      <c r="QNE24" s="189"/>
      <c r="QNF24" s="189"/>
      <c r="QNG24" s="189"/>
      <c r="QNH24" s="189"/>
      <c r="QNI24" s="189"/>
      <c r="QNJ24" s="189"/>
      <c r="QNK24" s="189"/>
      <c r="QNL24" s="189"/>
      <c r="QNM24" s="189"/>
      <c r="QNN24" s="189"/>
      <c r="QNO24" s="189"/>
      <c r="QNP24" s="189"/>
      <c r="QNQ24" s="189"/>
      <c r="QNR24" s="189"/>
      <c r="QNS24" s="189"/>
      <c r="QNT24" s="189"/>
      <c r="QNU24" s="189"/>
      <c r="QNV24" s="189"/>
      <c r="QNW24" s="189"/>
      <c r="QNX24" s="189"/>
      <c r="QNY24" s="189"/>
      <c r="QNZ24" s="189"/>
      <c r="QOA24" s="189"/>
      <c r="QOB24" s="189"/>
      <c r="QOC24" s="189"/>
      <c r="QOD24" s="189"/>
      <c r="QOE24" s="189"/>
      <c r="QOF24" s="189"/>
      <c r="QOG24" s="189"/>
      <c r="QOH24" s="189"/>
      <c r="QOI24" s="189"/>
      <c r="QOJ24" s="189"/>
      <c r="QOK24" s="189"/>
      <c r="QOL24" s="189"/>
      <c r="QOM24" s="189"/>
      <c r="QON24" s="189"/>
      <c r="QOO24" s="189"/>
      <c r="QOP24" s="189"/>
      <c r="QOQ24" s="189"/>
      <c r="QOR24" s="189"/>
      <c r="QOS24" s="189"/>
      <c r="QOT24" s="189"/>
      <c r="QOU24" s="189"/>
      <c r="QOV24" s="189"/>
      <c r="QOW24" s="189"/>
      <c r="QOX24" s="189"/>
      <c r="QOY24" s="189"/>
      <c r="QOZ24" s="189"/>
      <c r="QPA24" s="189"/>
      <c r="QPB24" s="189"/>
      <c r="QPC24" s="189"/>
      <c r="QPD24" s="189"/>
      <c r="QPE24" s="189"/>
      <c r="QPF24" s="189"/>
      <c r="QPG24" s="189"/>
      <c r="QPH24" s="189"/>
      <c r="QPI24" s="189"/>
      <c r="QPJ24" s="189"/>
      <c r="QPK24" s="189"/>
      <c r="QPL24" s="189"/>
      <c r="QPM24" s="189"/>
      <c r="QPN24" s="189"/>
      <c r="QPO24" s="189"/>
      <c r="QPP24" s="189"/>
      <c r="QPQ24" s="189"/>
      <c r="QPR24" s="189"/>
      <c r="QPS24" s="189"/>
      <c r="QPT24" s="189"/>
      <c r="QPU24" s="189"/>
      <c r="QPV24" s="189"/>
      <c r="QPW24" s="189"/>
      <c r="QPX24" s="189"/>
      <c r="QPY24" s="189"/>
      <c r="QPZ24" s="189"/>
      <c r="QQA24" s="189"/>
      <c r="QQB24" s="189"/>
      <c r="QQC24" s="189"/>
      <c r="QQD24" s="189"/>
      <c r="QQE24" s="189"/>
      <c r="QQF24" s="189"/>
      <c r="QQG24" s="189"/>
      <c r="QQH24" s="189"/>
      <c r="QQI24" s="189"/>
      <c r="QQJ24" s="189"/>
      <c r="QQK24" s="189"/>
      <c r="QQL24" s="189"/>
      <c r="QQM24" s="189"/>
      <c r="QQN24" s="189"/>
      <c r="QQO24" s="189"/>
      <c r="QQP24" s="189"/>
      <c r="QQQ24" s="189"/>
      <c r="QQR24" s="189"/>
      <c r="QQS24" s="189"/>
      <c r="QQT24" s="189"/>
      <c r="QQU24" s="189"/>
      <c r="QQV24" s="189"/>
      <c r="QQW24" s="189"/>
      <c r="QQX24" s="189"/>
      <c r="QQY24" s="189"/>
      <c r="QQZ24" s="189"/>
      <c r="QRA24" s="189"/>
      <c r="QRB24" s="189"/>
      <c r="QRC24" s="189"/>
      <c r="QRD24" s="189"/>
      <c r="QRE24" s="189"/>
      <c r="QRF24" s="189"/>
      <c r="QRG24" s="189"/>
      <c r="QRH24" s="189"/>
      <c r="QRI24" s="189"/>
      <c r="QRJ24" s="189"/>
      <c r="QRK24" s="189"/>
      <c r="QRL24" s="189"/>
      <c r="QRM24" s="189"/>
      <c r="QRN24" s="189"/>
      <c r="QRO24" s="189"/>
      <c r="QRP24" s="189"/>
      <c r="QRQ24" s="189"/>
      <c r="QRR24" s="189"/>
      <c r="QRS24" s="189"/>
      <c r="QRT24" s="189"/>
      <c r="QRU24" s="189"/>
      <c r="QRV24" s="189"/>
      <c r="QRW24" s="189"/>
      <c r="QRX24" s="189"/>
      <c r="QRY24" s="189"/>
      <c r="QRZ24" s="189"/>
      <c r="QSA24" s="189"/>
      <c r="QSB24" s="189"/>
      <c r="QSC24" s="189"/>
      <c r="QSD24" s="189"/>
      <c r="QSE24" s="189"/>
      <c r="QSF24" s="189"/>
      <c r="QSG24" s="189"/>
      <c r="QSH24" s="189"/>
      <c r="QSI24" s="189"/>
      <c r="QSJ24" s="189"/>
      <c r="QSK24" s="189"/>
      <c r="QSL24" s="189"/>
      <c r="QSM24" s="189"/>
      <c r="QSN24" s="189"/>
      <c r="QSO24" s="189"/>
      <c r="QSP24" s="189"/>
      <c r="QSQ24" s="189"/>
      <c r="QSR24" s="189"/>
      <c r="QSS24" s="189"/>
      <c r="QST24" s="189"/>
      <c r="QSU24" s="189"/>
      <c r="QSV24" s="189"/>
      <c r="QSW24" s="189"/>
      <c r="QSX24" s="189"/>
      <c r="QSY24" s="189"/>
      <c r="QSZ24" s="189"/>
      <c r="QTA24" s="189"/>
      <c r="QTB24" s="189"/>
      <c r="QTC24" s="189"/>
      <c r="QTD24" s="189"/>
      <c r="QTE24" s="189"/>
      <c r="QTF24" s="189"/>
      <c r="QTG24" s="189"/>
      <c r="QTH24" s="189"/>
      <c r="QTI24" s="189"/>
      <c r="QTJ24" s="189"/>
      <c r="QTK24" s="189"/>
      <c r="QTL24" s="189"/>
      <c r="QTM24" s="189"/>
      <c r="QTN24" s="189"/>
      <c r="QTO24" s="189"/>
      <c r="QTP24" s="189"/>
      <c r="QTQ24" s="189"/>
      <c r="QTR24" s="189"/>
      <c r="QTS24" s="189"/>
      <c r="QTT24" s="189"/>
      <c r="QTU24" s="189"/>
      <c r="QTV24" s="189"/>
      <c r="QTW24" s="189"/>
      <c r="QTX24" s="189"/>
      <c r="QTY24" s="189"/>
      <c r="QTZ24" s="189"/>
      <c r="QUA24" s="189"/>
      <c r="QUB24" s="189"/>
      <c r="QUC24" s="189"/>
      <c r="QUD24" s="189"/>
      <c r="QUE24" s="189"/>
      <c r="QUF24" s="189"/>
      <c r="QUG24" s="189"/>
      <c r="QUH24" s="189"/>
      <c r="QUI24" s="189"/>
      <c r="QUJ24" s="189"/>
      <c r="QUK24" s="189"/>
      <c r="QUL24" s="189"/>
      <c r="QUM24" s="189"/>
      <c r="QUN24" s="189"/>
      <c r="QUO24" s="189"/>
      <c r="QUP24" s="189"/>
      <c r="QUQ24" s="189"/>
      <c r="QUR24" s="189"/>
      <c r="QUS24" s="189"/>
      <c r="QUT24" s="189"/>
      <c r="QUU24" s="189"/>
      <c r="QUV24" s="189"/>
      <c r="QUW24" s="189"/>
      <c r="QUX24" s="189"/>
      <c r="QUY24" s="189"/>
      <c r="QUZ24" s="189"/>
      <c r="QVA24" s="189"/>
      <c r="QVB24" s="189"/>
      <c r="QVC24" s="189"/>
      <c r="QVD24" s="189"/>
      <c r="QVE24" s="189"/>
      <c r="QVF24" s="189"/>
      <c r="QVG24" s="189"/>
      <c r="QVH24" s="189"/>
      <c r="QVI24" s="189"/>
      <c r="QVJ24" s="189"/>
      <c r="QVK24" s="189"/>
      <c r="QVL24" s="189"/>
      <c r="QVM24" s="189"/>
      <c r="QVN24" s="189"/>
      <c r="QVO24" s="189"/>
      <c r="QVP24" s="189"/>
      <c r="QVQ24" s="189"/>
      <c r="QVR24" s="189"/>
      <c r="QVS24" s="189"/>
      <c r="QVT24" s="189"/>
      <c r="QVU24" s="189"/>
      <c r="QVV24" s="189"/>
      <c r="QVW24" s="189"/>
      <c r="QVX24" s="189"/>
      <c r="QVY24" s="189"/>
      <c r="QVZ24" s="189"/>
      <c r="QWA24" s="189"/>
      <c r="QWB24" s="189"/>
      <c r="QWC24" s="189"/>
      <c r="QWD24" s="189"/>
      <c r="QWE24" s="189"/>
      <c r="QWF24" s="189"/>
      <c r="QWG24" s="189"/>
      <c r="QWH24" s="189"/>
      <c r="QWI24" s="189"/>
      <c r="QWJ24" s="189"/>
      <c r="QWK24" s="189"/>
      <c r="QWL24" s="189"/>
      <c r="QWM24" s="189"/>
      <c r="QWN24" s="189"/>
      <c r="QWO24" s="189"/>
      <c r="QWP24" s="189"/>
      <c r="QWQ24" s="189"/>
      <c r="QWR24" s="189"/>
      <c r="QWS24" s="189"/>
      <c r="QWT24" s="189"/>
      <c r="QWU24" s="189"/>
      <c r="QWV24" s="189"/>
      <c r="QWW24" s="189"/>
      <c r="QWX24" s="189"/>
      <c r="QWY24" s="189"/>
      <c r="QWZ24" s="189"/>
      <c r="QXA24" s="189"/>
      <c r="QXB24" s="189"/>
      <c r="QXC24" s="189"/>
      <c r="QXD24" s="189"/>
      <c r="QXE24" s="189"/>
      <c r="QXF24" s="189"/>
      <c r="QXG24" s="189"/>
      <c r="QXH24" s="189"/>
      <c r="QXI24" s="189"/>
      <c r="QXJ24" s="189"/>
      <c r="QXK24" s="189"/>
      <c r="QXL24" s="189"/>
      <c r="QXM24" s="189"/>
      <c r="QXN24" s="189"/>
      <c r="QXO24" s="189"/>
      <c r="QXP24" s="189"/>
      <c r="QXQ24" s="189"/>
      <c r="QXR24" s="189"/>
      <c r="QXS24" s="189"/>
      <c r="QXT24" s="189"/>
      <c r="QXU24" s="189"/>
      <c r="QXV24" s="189"/>
      <c r="QXW24" s="189"/>
      <c r="QXX24" s="189"/>
      <c r="QXY24" s="189"/>
      <c r="QXZ24" s="189"/>
      <c r="QYA24" s="189"/>
      <c r="QYB24" s="189"/>
      <c r="QYC24" s="189"/>
      <c r="QYD24" s="189"/>
      <c r="QYE24" s="189"/>
      <c r="QYF24" s="189"/>
      <c r="QYG24" s="189"/>
      <c r="QYH24" s="189"/>
      <c r="QYI24" s="189"/>
      <c r="QYJ24" s="189"/>
      <c r="QYK24" s="189"/>
      <c r="QYL24" s="189"/>
      <c r="QYM24" s="189"/>
      <c r="QYN24" s="189"/>
      <c r="QYO24" s="189"/>
      <c r="QYP24" s="189"/>
      <c r="QYQ24" s="189"/>
      <c r="QYR24" s="189"/>
      <c r="QYS24" s="189"/>
      <c r="QYT24" s="189"/>
      <c r="QYU24" s="189"/>
      <c r="QYV24" s="189"/>
      <c r="QYW24" s="189"/>
      <c r="QYX24" s="189"/>
      <c r="QYY24" s="189"/>
      <c r="QYZ24" s="189"/>
      <c r="QZA24" s="189"/>
      <c r="QZB24" s="189"/>
      <c r="QZC24" s="189"/>
      <c r="QZD24" s="189"/>
      <c r="QZE24" s="189"/>
      <c r="QZF24" s="189"/>
      <c r="QZG24" s="189"/>
      <c r="QZH24" s="189"/>
      <c r="QZI24" s="189"/>
      <c r="QZJ24" s="189"/>
      <c r="QZK24" s="189"/>
      <c r="QZL24" s="189"/>
      <c r="QZM24" s="189"/>
      <c r="QZN24" s="189"/>
      <c r="QZO24" s="189"/>
      <c r="QZP24" s="189"/>
      <c r="QZQ24" s="189"/>
      <c r="QZR24" s="189"/>
      <c r="QZS24" s="189"/>
      <c r="QZT24" s="189"/>
      <c r="QZU24" s="189"/>
      <c r="QZV24" s="189"/>
      <c r="QZW24" s="189"/>
      <c r="QZX24" s="189"/>
      <c r="QZY24" s="189"/>
      <c r="QZZ24" s="189"/>
      <c r="RAA24" s="189"/>
      <c r="RAB24" s="189"/>
      <c r="RAC24" s="189"/>
      <c r="RAD24" s="189"/>
      <c r="RAE24" s="189"/>
      <c r="RAF24" s="189"/>
      <c r="RAG24" s="189"/>
      <c r="RAH24" s="189"/>
      <c r="RAI24" s="189"/>
      <c r="RAJ24" s="189"/>
      <c r="RAK24" s="189"/>
      <c r="RAL24" s="189"/>
      <c r="RAM24" s="189"/>
      <c r="RAN24" s="189"/>
      <c r="RAO24" s="189"/>
      <c r="RAP24" s="189"/>
      <c r="RAQ24" s="189"/>
      <c r="RAR24" s="189"/>
      <c r="RAS24" s="189"/>
      <c r="RAT24" s="189"/>
      <c r="RAU24" s="189"/>
      <c r="RAV24" s="189"/>
      <c r="RAW24" s="189"/>
      <c r="RAX24" s="189"/>
      <c r="RAY24" s="189"/>
      <c r="RAZ24" s="189"/>
      <c r="RBA24" s="189"/>
      <c r="RBB24" s="189"/>
      <c r="RBC24" s="189"/>
      <c r="RBD24" s="189"/>
      <c r="RBE24" s="189"/>
      <c r="RBF24" s="189"/>
      <c r="RBG24" s="189"/>
      <c r="RBH24" s="189"/>
      <c r="RBI24" s="189"/>
      <c r="RBJ24" s="189"/>
      <c r="RBK24" s="189"/>
      <c r="RBL24" s="189"/>
      <c r="RBM24" s="189"/>
      <c r="RBN24" s="189"/>
      <c r="RBO24" s="189"/>
      <c r="RBP24" s="189"/>
      <c r="RBQ24" s="189"/>
      <c r="RBR24" s="189"/>
      <c r="RBS24" s="189"/>
      <c r="RBT24" s="189"/>
      <c r="RBU24" s="189"/>
      <c r="RBV24" s="189"/>
      <c r="RBW24" s="189"/>
      <c r="RBX24" s="189"/>
      <c r="RBY24" s="189"/>
      <c r="RBZ24" s="189"/>
      <c r="RCA24" s="189"/>
      <c r="RCB24" s="189"/>
      <c r="RCC24" s="189"/>
      <c r="RCD24" s="189"/>
      <c r="RCE24" s="189"/>
      <c r="RCF24" s="189"/>
      <c r="RCG24" s="189"/>
      <c r="RCH24" s="189"/>
      <c r="RCI24" s="189"/>
      <c r="RCJ24" s="189"/>
      <c r="RCK24" s="189"/>
      <c r="RCL24" s="189"/>
      <c r="RCM24" s="189"/>
      <c r="RCN24" s="189"/>
      <c r="RCO24" s="189"/>
      <c r="RCP24" s="189"/>
      <c r="RCQ24" s="189"/>
      <c r="RCR24" s="189"/>
      <c r="RCS24" s="189"/>
      <c r="RCT24" s="189"/>
      <c r="RCU24" s="189"/>
      <c r="RCV24" s="189"/>
      <c r="RCW24" s="189"/>
      <c r="RCX24" s="189"/>
      <c r="RCY24" s="189"/>
      <c r="RCZ24" s="189"/>
      <c r="RDA24" s="189"/>
      <c r="RDB24" s="189"/>
      <c r="RDC24" s="189"/>
      <c r="RDD24" s="189"/>
      <c r="RDE24" s="189"/>
      <c r="RDF24" s="189"/>
      <c r="RDG24" s="189"/>
      <c r="RDH24" s="189"/>
      <c r="RDI24" s="189"/>
      <c r="RDJ24" s="189"/>
      <c r="RDK24" s="189"/>
      <c r="RDL24" s="189"/>
      <c r="RDM24" s="189"/>
      <c r="RDN24" s="189"/>
      <c r="RDO24" s="189"/>
      <c r="RDP24" s="189"/>
      <c r="RDQ24" s="189"/>
      <c r="RDR24" s="189"/>
      <c r="RDS24" s="189"/>
      <c r="RDT24" s="189"/>
      <c r="RDU24" s="189"/>
      <c r="RDV24" s="189"/>
      <c r="RDW24" s="189"/>
      <c r="RDX24" s="189"/>
      <c r="RDY24" s="189"/>
      <c r="RDZ24" s="189"/>
      <c r="REA24" s="189"/>
      <c r="REB24" s="189"/>
      <c r="REC24" s="189"/>
      <c r="RED24" s="189"/>
      <c r="REE24" s="189"/>
      <c r="REF24" s="189"/>
      <c r="REG24" s="189"/>
      <c r="REH24" s="189"/>
      <c r="REI24" s="189"/>
      <c r="REJ24" s="189"/>
      <c r="REK24" s="189"/>
      <c r="REL24" s="189"/>
      <c r="REM24" s="189"/>
      <c r="REN24" s="189"/>
      <c r="REO24" s="189"/>
      <c r="REP24" s="189"/>
      <c r="REQ24" s="189"/>
      <c r="RER24" s="189"/>
      <c r="RES24" s="189"/>
      <c r="RET24" s="189"/>
      <c r="REU24" s="189"/>
      <c r="REV24" s="189"/>
      <c r="REW24" s="189"/>
      <c r="REX24" s="189"/>
      <c r="REY24" s="189"/>
      <c r="REZ24" s="189"/>
      <c r="RFA24" s="189"/>
      <c r="RFB24" s="189"/>
      <c r="RFC24" s="189"/>
      <c r="RFD24" s="189"/>
      <c r="RFE24" s="189"/>
      <c r="RFF24" s="189"/>
      <c r="RFG24" s="189"/>
      <c r="RFH24" s="189"/>
      <c r="RFI24" s="189"/>
      <c r="RFJ24" s="189"/>
      <c r="RFK24" s="189"/>
      <c r="RFL24" s="189"/>
      <c r="RFM24" s="189"/>
      <c r="RFN24" s="189"/>
      <c r="RFO24" s="189"/>
      <c r="RFP24" s="189"/>
      <c r="RFQ24" s="189"/>
      <c r="RFR24" s="189"/>
      <c r="RFS24" s="189"/>
      <c r="RFT24" s="189"/>
      <c r="RFU24" s="189"/>
      <c r="RFV24" s="189"/>
      <c r="RFW24" s="189"/>
      <c r="RFX24" s="189"/>
      <c r="RFY24" s="189"/>
      <c r="RFZ24" s="189"/>
      <c r="RGA24" s="189"/>
      <c r="RGB24" s="189"/>
      <c r="RGC24" s="189"/>
      <c r="RGD24" s="189"/>
      <c r="RGE24" s="189"/>
      <c r="RGF24" s="189"/>
      <c r="RGG24" s="189"/>
      <c r="RGH24" s="189"/>
      <c r="RGI24" s="189"/>
      <c r="RGJ24" s="189"/>
      <c r="RGK24" s="189"/>
      <c r="RGL24" s="189"/>
      <c r="RGM24" s="189"/>
      <c r="RGN24" s="189"/>
      <c r="RGO24" s="189"/>
      <c r="RGP24" s="189"/>
      <c r="RGQ24" s="189"/>
      <c r="RGR24" s="189"/>
      <c r="RGS24" s="189"/>
      <c r="RGT24" s="189"/>
      <c r="RGU24" s="189"/>
      <c r="RGV24" s="189"/>
      <c r="RGW24" s="189"/>
      <c r="RGX24" s="189"/>
      <c r="RGY24" s="189"/>
      <c r="RGZ24" s="189"/>
      <c r="RHA24" s="189"/>
      <c r="RHB24" s="189"/>
      <c r="RHC24" s="189"/>
      <c r="RHD24" s="189"/>
      <c r="RHE24" s="189"/>
      <c r="RHF24" s="189"/>
      <c r="RHG24" s="189"/>
      <c r="RHH24" s="189"/>
      <c r="RHI24" s="189"/>
      <c r="RHJ24" s="189"/>
      <c r="RHK24" s="189"/>
      <c r="RHL24" s="189"/>
      <c r="RHM24" s="189"/>
      <c r="RHN24" s="189"/>
      <c r="RHO24" s="189"/>
      <c r="RHP24" s="189"/>
      <c r="RHQ24" s="189"/>
      <c r="RHR24" s="189"/>
      <c r="RHS24" s="189"/>
      <c r="RHT24" s="189"/>
      <c r="RHU24" s="189"/>
      <c r="RHV24" s="189"/>
      <c r="RHW24" s="189"/>
      <c r="RHX24" s="189"/>
      <c r="RHY24" s="189"/>
      <c r="RHZ24" s="189"/>
      <c r="RIA24" s="189"/>
      <c r="RIB24" s="189"/>
      <c r="RIC24" s="189"/>
      <c r="RID24" s="189"/>
      <c r="RIE24" s="189"/>
      <c r="RIF24" s="189"/>
      <c r="RIG24" s="189"/>
      <c r="RIH24" s="189"/>
      <c r="RII24" s="189"/>
      <c r="RIJ24" s="189"/>
      <c r="RIK24" s="189"/>
      <c r="RIL24" s="189"/>
      <c r="RIM24" s="189"/>
      <c r="RIN24" s="189"/>
      <c r="RIO24" s="189"/>
      <c r="RIP24" s="189"/>
      <c r="RIQ24" s="189"/>
      <c r="RIR24" s="189"/>
      <c r="RIS24" s="189"/>
      <c r="RIT24" s="189"/>
      <c r="RIU24" s="189"/>
      <c r="RIV24" s="189"/>
      <c r="RIW24" s="189"/>
      <c r="RIX24" s="189"/>
      <c r="RIY24" s="189"/>
      <c r="RIZ24" s="189"/>
      <c r="RJA24" s="189"/>
      <c r="RJB24" s="189"/>
      <c r="RJC24" s="189"/>
      <c r="RJD24" s="189"/>
      <c r="RJE24" s="189"/>
      <c r="RJF24" s="189"/>
      <c r="RJG24" s="189"/>
      <c r="RJH24" s="189"/>
      <c r="RJI24" s="189"/>
      <c r="RJJ24" s="189"/>
      <c r="RJK24" s="189"/>
      <c r="RJL24" s="189"/>
      <c r="RJM24" s="189"/>
      <c r="RJN24" s="189"/>
      <c r="RJO24" s="189"/>
      <c r="RJP24" s="189"/>
      <c r="RJQ24" s="189"/>
      <c r="RJR24" s="189"/>
      <c r="RJS24" s="189"/>
      <c r="RJT24" s="189"/>
      <c r="RJU24" s="189"/>
      <c r="RJV24" s="189"/>
      <c r="RJW24" s="189"/>
      <c r="RJX24" s="189"/>
      <c r="RJY24" s="189"/>
      <c r="RJZ24" s="189"/>
      <c r="RKA24" s="189"/>
      <c r="RKB24" s="189"/>
      <c r="RKC24" s="189"/>
      <c r="RKD24" s="189"/>
      <c r="RKE24" s="189"/>
      <c r="RKF24" s="189"/>
      <c r="RKG24" s="189"/>
      <c r="RKH24" s="189"/>
      <c r="RKI24" s="189"/>
      <c r="RKJ24" s="189"/>
      <c r="RKK24" s="189"/>
      <c r="RKL24" s="189"/>
      <c r="RKM24" s="189"/>
      <c r="RKN24" s="189"/>
      <c r="RKO24" s="189"/>
      <c r="RKP24" s="189"/>
      <c r="RKQ24" s="189"/>
      <c r="RKR24" s="189"/>
      <c r="RKS24" s="189"/>
      <c r="RKT24" s="189"/>
      <c r="RKU24" s="189"/>
      <c r="RKV24" s="189"/>
      <c r="RKW24" s="189"/>
      <c r="RKX24" s="189"/>
      <c r="RKY24" s="189"/>
      <c r="RKZ24" s="189"/>
      <c r="RLA24" s="189"/>
      <c r="RLB24" s="189"/>
      <c r="RLC24" s="189"/>
      <c r="RLD24" s="189"/>
      <c r="RLE24" s="189"/>
      <c r="RLF24" s="189"/>
      <c r="RLG24" s="189"/>
      <c r="RLH24" s="189"/>
      <c r="RLI24" s="189"/>
      <c r="RLJ24" s="189"/>
      <c r="RLK24" s="189"/>
      <c r="RLL24" s="189"/>
      <c r="RLM24" s="189"/>
      <c r="RLN24" s="189"/>
      <c r="RLO24" s="189"/>
      <c r="RLP24" s="189"/>
      <c r="RLQ24" s="189"/>
      <c r="RLR24" s="189"/>
      <c r="RLS24" s="189"/>
      <c r="RLT24" s="189"/>
      <c r="RLU24" s="189"/>
      <c r="RLV24" s="189"/>
      <c r="RLW24" s="189"/>
      <c r="RLX24" s="189"/>
      <c r="RLY24" s="189"/>
      <c r="RLZ24" s="189"/>
      <c r="RMA24" s="189"/>
      <c r="RMB24" s="189"/>
      <c r="RMC24" s="189"/>
      <c r="RMD24" s="189"/>
      <c r="RME24" s="189"/>
      <c r="RMF24" s="189"/>
      <c r="RMG24" s="189"/>
      <c r="RMH24" s="189"/>
      <c r="RMI24" s="189"/>
      <c r="RMJ24" s="189"/>
      <c r="RMK24" s="189"/>
      <c r="RML24" s="189"/>
      <c r="RMM24" s="189"/>
      <c r="RMN24" s="189"/>
      <c r="RMO24" s="189"/>
      <c r="RMP24" s="189"/>
      <c r="RMQ24" s="189"/>
      <c r="RMR24" s="189"/>
      <c r="RMS24" s="189"/>
      <c r="RMT24" s="189"/>
      <c r="RMU24" s="189"/>
      <c r="RMV24" s="189"/>
      <c r="RMW24" s="189"/>
      <c r="RMX24" s="189"/>
      <c r="RMY24" s="189"/>
      <c r="RMZ24" s="189"/>
      <c r="RNA24" s="189"/>
      <c r="RNB24" s="189"/>
      <c r="RNC24" s="189"/>
      <c r="RND24" s="189"/>
      <c r="RNE24" s="189"/>
      <c r="RNF24" s="189"/>
      <c r="RNG24" s="189"/>
      <c r="RNH24" s="189"/>
      <c r="RNI24" s="189"/>
      <c r="RNJ24" s="189"/>
      <c r="RNK24" s="189"/>
      <c r="RNL24" s="189"/>
      <c r="RNM24" s="189"/>
      <c r="RNN24" s="189"/>
      <c r="RNO24" s="189"/>
      <c r="RNP24" s="189"/>
      <c r="RNQ24" s="189"/>
      <c r="RNR24" s="189"/>
      <c r="RNS24" s="189"/>
      <c r="RNT24" s="189"/>
      <c r="RNU24" s="189"/>
      <c r="RNV24" s="189"/>
      <c r="RNW24" s="189"/>
      <c r="RNX24" s="189"/>
      <c r="RNY24" s="189"/>
      <c r="RNZ24" s="189"/>
      <c r="ROA24" s="189"/>
      <c r="ROB24" s="189"/>
      <c r="ROC24" s="189"/>
      <c r="ROD24" s="189"/>
      <c r="ROE24" s="189"/>
      <c r="ROF24" s="189"/>
      <c r="ROG24" s="189"/>
      <c r="ROH24" s="189"/>
      <c r="ROI24" s="189"/>
      <c r="ROJ24" s="189"/>
      <c r="ROK24" s="189"/>
      <c r="ROL24" s="189"/>
      <c r="ROM24" s="189"/>
      <c r="RON24" s="189"/>
      <c r="ROO24" s="189"/>
      <c r="ROP24" s="189"/>
      <c r="ROQ24" s="189"/>
      <c r="ROR24" s="189"/>
      <c r="ROS24" s="189"/>
      <c r="ROT24" s="189"/>
      <c r="ROU24" s="189"/>
      <c r="ROV24" s="189"/>
      <c r="ROW24" s="189"/>
      <c r="ROX24" s="189"/>
      <c r="ROY24" s="189"/>
      <c r="ROZ24" s="189"/>
      <c r="RPA24" s="189"/>
      <c r="RPB24" s="189"/>
      <c r="RPC24" s="189"/>
      <c r="RPD24" s="189"/>
      <c r="RPE24" s="189"/>
      <c r="RPF24" s="189"/>
      <c r="RPG24" s="189"/>
      <c r="RPH24" s="189"/>
      <c r="RPI24" s="189"/>
      <c r="RPJ24" s="189"/>
      <c r="RPK24" s="189"/>
      <c r="RPL24" s="189"/>
      <c r="RPM24" s="189"/>
      <c r="RPN24" s="189"/>
      <c r="RPO24" s="189"/>
      <c r="RPP24" s="189"/>
      <c r="RPQ24" s="189"/>
      <c r="RPR24" s="189"/>
      <c r="RPS24" s="189"/>
      <c r="RPT24" s="189"/>
      <c r="RPU24" s="189"/>
      <c r="RPV24" s="189"/>
      <c r="RPW24" s="189"/>
      <c r="RPX24" s="189"/>
      <c r="RPY24" s="189"/>
      <c r="RPZ24" s="189"/>
      <c r="RQA24" s="189"/>
      <c r="RQB24" s="189"/>
      <c r="RQC24" s="189"/>
      <c r="RQD24" s="189"/>
      <c r="RQE24" s="189"/>
      <c r="RQF24" s="189"/>
      <c r="RQG24" s="189"/>
      <c r="RQH24" s="189"/>
      <c r="RQI24" s="189"/>
      <c r="RQJ24" s="189"/>
      <c r="RQK24" s="189"/>
      <c r="RQL24" s="189"/>
      <c r="RQM24" s="189"/>
      <c r="RQN24" s="189"/>
      <c r="RQO24" s="189"/>
      <c r="RQP24" s="189"/>
      <c r="RQQ24" s="189"/>
      <c r="RQR24" s="189"/>
      <c r="RQS24" s="189"/>
      <c r="RQT24" s="189"/>
      <c r="RQU24" s="189"/>
      <c r="RQV24" s="189"/>
      <c r="RQW24" s="189"/>
      <c r="RQX24" s="189"/>
      <c r="RQY24" s="189"/>
      <c r="RQZ24" s="189"/>
      <c r="RRA24" s="189"/>
      <c r="RRB24" s="189"/>
      <c r="RRC24" s="189"/>
      <c r="RRD24" s="189"/>
      <c r="RRE24" s="189"/>
      <c r="RRF24" s="189"/>
      <c r="RRG24" s="189"/>
      <c r="RRH24" s="189"/>
      <c r="RRI24" s="189"/>
      <c r="RRJ24" s="189"/>
      <c r="RRK24" s="189"/>
      <c r="RRL24" s="189"/>
      <c r="RRM24" s="189"/>
      <c r="RRN24" s="189"/>
      <c r="RRO24" s="189"/>
      <c r="RRP24" s="189"/>
      <c r="RRQ24" s="189"/>
      <c r="RRR24" s="189"/>
      <c r="RRS24" s="189"/>
      <c r="RRT24" s="189"/>
      <c r="RRU24" s="189"/>
      <c r="RRV24" s="189"/>
      <c r="RRW24" s="189"/>
      <c r="RRX24" s="189"/>
      <c r="RRY24" s="189"/>
      <c r="RRZ24" s="189"/>
      <c r="RSA24" s="189"/>
      <c r="RSB24" s="189"/>
      <c r="RSC24" s="189"/>
      <c r="RSD24" s="189"/>
      <c r="RSE24" s="189"/>
      <c r="RSF24" s="189"/>
      <c r="RSG24" s="189"/>
      <c r="RSH24" s="189"/>
      <c r="RSI24" s="189"/>
      <c r="RSJ24" s="189"/>
      <c r="RSK24" s="189"/>
      <c r="RSL24" s="189"/>
      <c r="RSM24" s="189"/>
      <c r="RSN24" s="189"/>
      <c r="RSO24" s="189"/>
      <c r="RSP24" s="189"/>
      <c r="RSQ24" s="189"/>
      <c r="RSR24" s="189"/>
      <c r="RSS24" s="189"/>
      <c r="RST24" s="189"/>
      <c r="RSU24" s="189"/>
      <c r="RSV24" s="189"/>
      <c r="RSW24" s="189"/>
      <c r="RSX24" s="189"/>
      <c r="RSY24" s="189"/>
      <c r="RSZ24" s="189"/>
      <c r="RTA24" s="189"/>
      <c r="RTB24" s="189"/>
      <c r="RTC24" s="189"/>
      <c r="RTD24" s="189"/>
      <c r="RTE24" s="189"/>
      <c r="RTF24" s="189"/>
      <c r="RTG24" s="189"/>
      <c r="RTH24" s="189"/>
      <c r="RTI24" s="189"/>
      <c r="RTJ24" s="189"/>
      <c r="RTK24" s="189"/>
      <c r="RTL24" s="189"/>
      <c r="RTM24" s="189"/>
      <c r="RTN24" s="189"/>
      <c r="RTO24" s="189"/>
      <c r="RTP24" s="189"/>
      <c r="RTQ24" s="189"/>
      <c r="RTR24" s="189"/>
      <c r="RTS24" s="189"/>
      <c r="RTT24" s="189"/>
      <c r="RTU24" s="189"/>
      <c r="RTV24" s="189"/>
      <c r="RTW24" s="189"/>
      <c r="RTX24" s="189"/>
      <c r="RTY24" s="189"/>
      <c r="RTZ24" s="189"/>
      <c r="RUA24" s="189"/>
      <c r="RUB24" s="189"/>
      <c r="RUC24" s="189"/>
      <c r="RUD24" s="189"/>
      <c r="RUE24" s="189"/>
      <c r="RUF24" s="189"/>
      <c r="RUG24" s="189"/>
      <c r="RUH24" s="189"/>
      <c r="RUI24" s="189"/>
      <c r="RUJ24" s="189"/>
      <c r="RUK24" s="189"/>
      <c r="RUL24" s="189"/>
      <c r="RUM24" s="189"/>
      <c r="RUN24" s="189"/>
      <c r="RUO24" s="189"/>
      <c r="RUP24" s="189"/>
      <c r="RUQ24" s="189"/>
      <c r="RUR24" s="189"/>
      <c r="RUS24" s="189"/>
      <c r="RUT24" s="189"/>
      <c r="RUU24" s="189"/>
      <c r="RUV24" s="189"/>
      <c r="RUW24" s="189"/>
      <c r="RUX24" s="189"/>
      <c r="RUY24" s="189"/>
      <c r="RUZ24" s="189"/>
      <c r="RVA24" s="189"/>
      <c r="RVB24" s="189"/>
      <c r="RVC24" s="189"/>
      <c r="RVD24" s="189"/>
      <c r="RVE24" s="189"/>
      <c r="RVF24" s="189"/>
      <c r="RVG24" s="189"/>
      <c r="RVH24" s="189"/>
      <c r="RVI24" s="189"/>
      <c r="RVJ24" s="189"/>
      <c r="RVK24" s="189"/>
      <c r="RVL24" s="189"/>
      <c r="RVM24" s="189"/>
      <c r="RVN24" s="189"/>
      <c r="RVO24" s="189"/>
      <c r="RVP24" s="189"/>
      <c r="RVQ24" s="189"/>
      <c r="RVR24" s="189"/>
      <c r="RVS24" s="189"/>
      <c r="RVT24" s="189"/>
      <c r="RVU24" s="189"/>
      <c r="RVV24" s="189"/>
      <c r="RVW24" s="189"/>
      <c r="RVX24" s="189"/>
      <c r="RVY24" s="189"/>
      <c r="RVZ24" s="189"/>
      <c r="RWA24" s="189"/>
      <c r="RWB24" s="189"/>
      <c r="RWC24" s="189"/>
      <c r="RWD24" s="189"/>
      <c r="RWE24" s="189"/>
      <c r="RWF24" s="189"/>
      <c r="RWG24" s="189"/>
      <c r="RWH24" s="189"/>
      <c r="RWI24" s="189"/>
      <c r="RWJ24" s="189"/>
      <c r="RWK24" s="189"/>
      <c r="RWL24" s="189"/>
      <c r="RWM24" s="189"/>
      <c r="RWN24" s="189"/>
      <c r="RWO24" s="189"/>
      <c r="RWP24" s="189"/>
      <c r="RWQ24" s="189"/>
      <c r="RWR24" s="189"/>
      <c r="RWS24" s="189"/>
      <c r="RWT24" s="189"/>
      <c r="RWU24" s="189"/>
      <c r="RWV24" s="189"/>
      <c r="RWW24" s="189"/>
      <c r="RWX24" s="189"/>
      <c r="RWY24" s="189"/>
      <c r="RWZ24" s="189"/>
      <c r="RXA24" s="189"/>
      <c r="RXB24" s="189"/>
      <c r="RXC24" s="189"/>
      <c r="RXD24" s="189"/>
      <c r="RXE24" s="189"/>
      <c r="RXF24" s="189"/>
      <c r="RXG24" s="189"/>
      <c r="RXH24" s="189"/>
      <c r="RXI24" s="189"/>
      <c r="RXJ24" s="189"/>
      <c r="RXK24" s="189"/>
      <c r="RXL24" s="189"/>
      <c r="RXM24" s="189"/>
      <c r="RXN24" s="189"/>
      <c r="RXO24" s="189"/>
      <c r="RXP24" s="189"/>
      <c r="RXQ24" s="189"/>
      <c r="RXR24" s="189"/>
      <c r="RXS24" s="189"/>
      <c r="RXT24" s="189"/>
      <c r="RXU24" s="189"/>
      <c r="RXV24" s="189"/>
      <c r="RXW24" s="189"/>
      <c r="RXX24" s="189"/>
      <c r="RXY24" s="189"/>
      <c r="RXZ24" s="189"/>
      <c r="RYA24" s="189"/>
      <c r="RYB24" s="189"/>
      <c r="RYC24" s="189"/>
      <c r="RYD24" s="189"/>
      <c r="RYE24" s="189"/>
      <c r="RYF24" s="189"/>
      <c r="RYG24" s="189"/>
      <c r="RYH24" s="189"/>
      <c r="RYI24" s="189"/>
      <c r="RYJ24" s="189"/>
      <c r="RYK24" s="189"/>
      <c r="RYL24" s="189"/>
      <c r="RYM24" s="189"/>
      <c r="RYN24" s="189"/>
      <c r="RYO24" s="189"/>
      <c r="RYP24" s="189"/>
      <c r="RYQ24" s="189"/>
      <c r="RYR24" s="189"/>
      <c r="RYS24" s="189"/>
      <c r="RYT24" s="189"/>
      <c r="RYU24" s="189"/>
      <c r="RYV24" s="189"/>
      <c r="RYW24" s="189"/>
      <c r="RYX24" s="189"/>
      <c r="RYY24" s="189"/>
      <c r="RYZ24" s="189"/>
      <c r="RZA24" s="189"/>
      <c r="RZB24" s="189"/>
      <c r="RZC24" s="189"/>
      <c r="RZD24" s="189"/>
      <c r="RZE24" s="189"/>
      <c r="RZF24" s="189"/>
      <c r="RZG24" s="189"/>
      <c r="RZH24" s="189"/>
      <c r="RZI24" s="189"/>
      <c r="RZJ24" s="189"/>
      <c r="RZK24" s="189"/>
      <c r="RZL24" s="189"/>
      <c r="RZM24" s="189"/>
      <c r="RZN24" s="189"/>
      <c r="RZO24" s="189"/>
      <c r="RZP24" s="189"/>
      <c r="RZQ24" s="189"/>
      <c r="RZR24" s="189"/>
      <c r="RZS24" s="189"/>
      <c r="RZT24" s="189"/>
      <c r="RZU24" s="189"/>
      <c r="RZV24" s="189"/>
      <c r="RZW24" s="189"/>
      <c r="RZX24" s="189"/>
      <c r="RZY24" s="189"/>
      <c r="RZZ24" s="189"/>
      <c r="SAA24" s="189"/>
      <c r="SAB24" s="189"/>
      <c r="SAC24" s="189"/>
      <c r="SAD24" s="189"/>
      <c r="SAE24" s="189"/>
      <c r="SAF24" s="189"/>
      <c r="SAG24" s="189"/>
      <c r="SAH24" s="189"/>
      <c r="SAI24" s="189"/>
      <c r="SAJ24" s="189"/>
      <c r="SAK24" s="189"/>
      <c r="SAL24" s="189"/>
      <c r="SAM24" s="189"/>
      <c r="SAN24" s="189"/>
      <c r="SAO24" s="189"/>
      <c r="SAP24" s="189"/>
      <c r="SAQ24" s="189"/>
      <c r="SAR24" s="189"/>
      <c r="SAS24" s="189"/>
      <c r="SAT24" s="189"/>
      <c r="SAU24" s="189"/>
      <c r="SAV24" s="189"/>
      <c r="SAW24" s="189"/>
      <c r="SAX24" s="189"/>
      <c r="SAY24" s="189"/>
      <c r="SAZ24" s="189"/>
      <c r="SBA24" s="189"/>
      <c r="SBB24" s="189"/>
      <c r="SBC24" s="189"/>
      <c r="SBD24" s="189"/>
      <c r="SBE24" s="189"/>
      <c r="SBF24" s="189"/>
      <c r="SBG24" s="189"/>
      <c r="SBH24" s="189"/>
      <c r="SBI24" s="189"/>
      <c r="SBJ24" s="189"/>
      <c r="SBK24" s="189"/>
      <c r="SBL24" s="189"/>
      <c r="SBM24" s="189"/>
      <c r="SBN24" s="189"/>
      <c r="SBO24" s="189"/>
      <c r="SBP24" s="189"/>
      <c r="SBQ24" s="189"/>
      <c r="SBR24" s="189"/>
      <c r="SBS24" s="189"/>
      <c r="SBT24" s="189"/>
      <c r="SBU24" s="189"/>
      <c r="SBV24" s="189"/>
      <c r="SBW24" s="189"/>
      <c r="SBX24" s="189"/>
      <c r="SBY24" s="189"/>
      <c r="SBZ24" s="189"/>
      <c r="SCA24" s="189"/>
      <c r="SCB24" s="189"/>
      <c r="SCC24" s="189"/>
      <c r="SCD24" s="189"/>
      <c r="SCE24" s="189"/>
      <c r="SCF24" s="189"/>
      <c r="SCG24" s="189"/>
      <c r="SCH24" s="189"/>
      <c r="SCI24" s="189"/>
      <c r="SCJ24" s="189"/>
      <c r="SCK24" s="189"/>
      <c r="SCL24" s="189"/>
      <c r="SCM24" s="189"/>
      <c r="SCN24" s="189"/>
      <c r="SCO24" s="189"/>
      <c r="SCP24" s="189"/>
      <c r="SCQ24" s="189"/>
      <c r="SCR24" s="189"/>
      <c r="SCS24" s="189"/>
      <c r="SCT24" s="189"/>
      <c r="SCU24" s="189"/>
      <c r="SCV24" s="189"/>
      <c r="SCW24" s="189"/>
      <c r="SCX24" s="189"/>
      <c r="SCY24" s="189"/>
      <c r="SCZ24" s="189"/>
      <c r="SDA24" s="189"/>
      <c r="SDB24" s="189"/>
      <c r="SDC24" s="189"/>
      <c r="SDD24" s="189"/>
      <c r="SDE24" s="189"/>
      <c r="SDF24" s="189"/>
      <c r="SDG24" s="189"/>
      <c r="SDH24" s="189"/>
      <c r="SDI24" s="189"/>
      <c r="SDJ24" s="189"/>
      <c r="SDK24" s="189"/>
      <c r="SDL24" s="189"/>
      <c r="SDM24" s="189"/>
      <c r="SDN24" s="189"/>
      <c r="SDO24" s="189"/>
      <c r="SDP24" s="189"/>
      <c r="SDQ24" s="189"/>
      <c r="SDR24" s="189"/>
      <c r="SDS24" s="189"/>
      <c r="SDT24" s="189"/>
      <c r="SDU24" s="189"/>
      <c r="SDV24" s="189"/>
      <c r="SDW24" s="189"/>
      <c r="SDX24" s="189"/>
      <c r="SDY24" s="189"/>
      <c r="SDZ24" s="189"/>
      <c r="SEA24" s="189"/>
      <c r="SEB24" s="189"/>
      <c r="SEC24" s="189"/>
      <c r="SED24" s="189"/>
      <c r="SEE24" s="189"/>
      <c r="SEF24" s="189"/>
      <c r="SEG24" s="189"/>
      <c r="SEH24" s="189"/>
      <c r="SEI24" s="189"/>
      <c r="SEJ24" s="189"/>
      <c r="SEK24" s="189"/>
      <c r="SEL24" s="189"/>
      <c r="SEM24" s="189"/>
      <c r="SEN24" s="189"/>
      <c r="SEO24" s="189"/>
      <c r="SEP24" s="189"/>
      <c r="SEQ24" s="189"/>
      <c r="SER24" s="189"/>
      <c r="SES24" s="189"/>
      <c r="SET24" s="189"/>
      <c r="SEU24" s="189"/>
      <c r="SEV24" s="189"/>
      <c r="SEW24" s="189"/>
      <c r="SEX24" s="189"/>
      <c r="SEY24" s="189"/>
      <c r="SEZ24" s="189"/>
      <c r="SFA24" s="189"/>
      <c r="SFB24" s="189"/>
      <c r="SFC24" s="189"/>
      <c r="SFD24" s="189"/>
      <c r="SFE24" s="189"/>
      <c r="SFF24" s="189"/>
      <c r="SFG24" s="189"/>
      <c r="SFH24" s="189"/>
      <c r="SFI24" s="189"/>
      <c r="SFJ24" s="189"/>
      <c r="SFK24" s="189"/>
      <c r="SFL24" s="189"/>
      <c r="SFM24" s="189"/>
      <c r="SFN24" s="189"/>
      <c r="SFO24" s="189"/>
      <c r="SFP24" s="189"/>
      <c r="SFQ24" s="189"/>
      <c r="SFR24" s="189"/>
      <c r="SFS24" s="189"/>
      <c r="SFT24" s="189"/>
      <c r="SFU24" s="189"/>
      <c r="SFV24" s="189"/>
      <c r="SFW24" s="189"/>
      <c r="SFX24" s="189"/>
      <c r="SFY24" s="189"/>
      <c r="SFZ24" s="189"/>
      <c r="SGA24" s="189"/>
      <c r="SGB24" s="189"/>
      <c r="SGC24" s="189"/>
      <c r="SGD24" s="189"/>
      <c r="SGE24" s="189"/>
      <c r="SGF24" s="189"/>
      <c r="SGG24" s="189"/>
      <c r="SGH24" s="189"/>
      <c r="SGI24" s="189"/>
      <c r="SGJ24" s="189"/>
      <c r="SGK24" s="189"/>
      <c r="SGL24" s="189"/>
      <c r="SGM24" s="189"/>
      <c r="SGN24" s="189"/>
      <c r="SGO24" s="189"/>
      <c r="SGP24" s="189"/>
      <c r="SGQ24" s="189"/>
      <c r="SGR24" s="189"/>
      <c r="SGS24" s="189"/>
      <c r="SGT24" s="189"/>
      <c r="SGU24" s="189"/>
      <c r="SGV24" s="189"/>
      <c r="SGW24" s="189"/>
      <c r="SGX24" s="189"/>
      <c r="SGY24" s="189"/>
      <c r="SGZ24" s="189"/>
      <c r="SHA24" s="189"/>
      <c r="SHB24" s="189"/>
      <c r="SHC24" s="189"/>
      <c r="SHD24" s="189"/>
      <c r="SHE24" s="189"/>
      <c r="SHF24" s="189"/>
      <c r="SHG24" s="189"/>
      <c r="SHH24" s="189"/>
      <c r="SHI24" s="189"/>
      <c r="SHJ24" s="189"/>
      <c r="SHK24" s="189"/>
      <c r="SHL24" s="189"/>
      <c r="SHM24" s="189"/>
      <c r="SHN24" s="189"/>
      <c r="SHO24" s="189"/>
      <c r="SHP24" s="189"/>
      <c r="SHQ24" s="189"/>
      <c r="SHR24" s="189"/>
      <c r="SHS24" s="189"/>
      <c r="SHT24" s="189"/>
      <c r="SHU24" s="189"/>
      <c r="SHV24" s="189"/>
      <c r="SHW24" s="189"/>
      <c r="SHX24" s="189"/>
      <c r="SHY24" s="189"/>
      <c r="SHZ24" s="189"/>
      <c r="SIA24" s="189"/>
      <c r="SIB24" s="189"/>
      <c r="SIC24" s="189"/>
      <c r="SID24" s="189"/>
      <c r="SIE24" s="189"/>
      <c r="SIF24" s="189"/>
      <c r="SIG24" s="189"/>
      <c r="SIH24" s="189"/>
      <c r="SII24" s="189"/>
      <c r="SIJ24" s="189"/>
      <c r="SIK24" s="189"/>
      <c r="SIL24" s="189"/>
      <c r="SIM24" s="189"/>
      <c r="SIN24" s="189"/>
      <c r="SIO24" s="189"/>
      <c r="SIP24" s="189"/>
      <c r="SIQ24" s="189"/>
      <c r="SIR24" s="189"/>
      <c r="SIS24" s="189"/>
      <c r="SIT24" s="189"/>
      <c r="SIU24" s="189"/>
      <c r="SIV24" s="189"/>
      <c r="SIW24" s="189"/>
      <c r="SIX24" s="189"/>
      <c r="SIY24" s="189"/>
      <c r="SIZ24" s="189"/>
      <c r="SJA24" s="189"/>
      <c r="SJB24" s="189"/>
      <c r="SJC24" s="189"/>
      <c r="SJD24" s="189"/>
      <c r="SJE24" s="189"/>
      <c r="SJF24" s="189"/>
      <c r="SJG24" s="189"/>
      <c r="SJH24" s="189"/>
      <c r="SJI24" s="189"/>
      <c r="SJJ24" s="189"/>
      <c r="SJK24" s="189"/>
      <c r="SJL24" s="189"/>
      <c r="SJM24" s="189"/>
      <c r="SJN24" s="189"/>
      <c r="SJO24" s="189"/>
      <c r="SJP24" s="189"/>
      <c r="SJQ24" s="189"/>
      <c r="SJR24" s="189"/>
      <c r="SJS24" s="189"/>
      <c r="SJT24" s="189"/>
      <c r="SJU24" s="189"/>
      <c r="SJV24" s="189"/>
      <c r="SJW24" s="189"/>
      <c r="SJX24" s="189"/>
      <c r="SJY24" s="189"/>
      <c r="SJZ24" s="189"/>
      <c r="SKA24" s="189"/>
      <c r="SKB24" s="189"/>
      <c r="SKC24" s="189"/>
      <c r="SKD24" s="189"/>
      <c r="SKE24" s="189"/>
      <c r="SKF24" s="189"/>
      <c r="SKG24" s="189"/>
      <c r="SKH24" s="189"/>
      <c r="SKI24" s="189"/>
      <c r="SKJ24" s="189"/>
      <c r="SKK24" s="189"/>
      <c r="SKL24" s="189"/>
      <c r="SKM24" s="189"/>
      <c r="SKN24" s="189"/>
      <c r="SKO24" s="189"/>
      <c r="SKP24" s="189"/>
      <c r="SKQ24" s="189"/>
      <c r="SKR24" s="189"/>
      <c r="SKS24" s="189"/>
      <c r="SKT24" s="189"/>
      <c r="SKU24" s="189"/>
      <c r="SKV24" s="189"/>
      <c r="SKW24" s="189"/>
      <c r="SKX24" s="189"/>
      <c r="SKY24" s="189"/>
      <c r="SKZ24" s="189"/>
      <c r="SLA24" s="189"/>
      <c r="SLB24" s="189"/>
      <c r="SLC24" s="189"/>
      <c r="SLD24" s="189"/>
      <c r="SLE24" s="189"/>
      <c r="SLF24" s="189"/>
      <c r="SLG24" s="189"/>
      <c r="SLH24" s="189"/>
      <c r="SLI24" s="189"/>
      <c r="SLJ24" s="189"/>
      <c r="SLK24" s="189"/>
      <c r="SLL24" s="189"/>
      <c r="SLM24" s="189"/>
      <c r="SLN24" s="189"/>
      <c r="SLO24" s="189"/>
      <c r="SLP24" s="189"/>
      <c r="SLQ24" s="189"/>
      <c r="SLR24" s="189"/>
      <c r="SLS24" s="189"/>
      <c r="SLT24" s="189"/>
      <c r="SLU24" s="189"/>
      <c r="SLV24" s="189"/>
      <c r="SLW24" s="189"/>
      <c r="SLX24" s="189"/>
      <c r="SLY24" s="189"/>
      <c r="SLZ24" s="189"/>
      <c r="SMA24" s="189"/>
      <c r="SMB24" s="189"/>
      <c r="SMC24" s="189"/>
      <c r="SMD24" s="189"/>
      <c r="SME24" s="189"/>
      <c r="SMF24" s="189"/>
      <c r="SMG24" s="189"/>
      <c r="SMH24" s="189"/>
      <c r="SMI24" s="189"/>
      <c r="SMJ24" s="189"/>
      <c r="SMK24" s="189"/>
      <c r="SML24" s="189"/>
      <c r="SMM24" s="189"/>
      <c r="SMN24" s="189"/>
      <c r="SMO24" s="189"/>
      <c r="SMP24" s="189"/>
      <c r="SMQ24" s="189"/>
      <c r="SMR24" s="189"/>
      <c r="SMS24" s="189"/>
      <c r="SMT24" s="189"/>
      <c r="SMU24" s="189"/>
      <c r="SMV24" s="189"/>
      <c r="SMW24" s="189"/>
      <c r="SMX24" s="189"/>
      <c r="SMY24" s="189"/>
      <c r="SMZ24" s="189"/>
      <c r="SNA24" s="189"/>
      <c r="SNB24" s="189"/>
      <c r="SNC24" s="189"/>
      <c r="SND24" s="189"/>
      <c r="SNE24" s="189"/>
      <c r="SNF24" s="189"/>
      <c r="SNG24" s="189"/>
      <c r="SNH24" s="189"/>
      <c r="SNI24" s="189"/>
      <c r="SNJ24" s="189"/>
      <c r="SNK24" s="189"/>
      <c r="SNL24" s="189"/>
      <c r="SNM24" s="189"/>
      <c r="SNN24" s="189"/>
      <c r="SNO24" s="189"/>
      <c r="SNP24" s="189"/>
      <c r="SNQ24" s="189"/>
      <c r="SNR24" s="189"/>
      <c r="SNS24" s="189"/>
      <c r="SNT24" s="189"/>
      <c r="SNU24" s="189"/>
      <c r="SNV24" s="189"/>
      <c r="SNW24" s="189"/>
      <c r="SNX24" s="189"/>
      <c r="SNY24" s="189"/>
      <c r="SNZ24" s="189"/>
      <c r="SOA24" s="189"/>
      <c r="SOB24" s="189"/>
      <c r="SOC24" s="189"/>
      <c r="SOD24" s="189"/>
      <c r="SOE24" s="189"/>
      <c r="SOF24" s="189"/>
      <c r="SOG24" s="189"/>
      <c r="SOH24" s="189"/>
      <c r="SOI24" s="189"/>
      <c r="SOJ24" s="189"/>
      <c r="SOK24" s="189"/>
      <c r="SOL24" s="189"/>
      <c r="SOM24" s="189"/>
      <c r="SON24" s="189"/>
      <c r="SOO24" s="189"/>
      <c r="SOP24" s="189"/>
      <c r="SOQ24" s="189"/>
      <c r="SOR24" s="189"/>
      <c r="SOS24" s="189"/>
      <c r="SOT24" s="189"/>
      <c r="SOU24" s="189"/>
      <c r="SOV24" s="189"/>
      <c r="SOW24" s="189"/>
      <c r="SOX24" s="189"/>
      <c r="SOY24" s="189"/>
      <c r="SOZ24" s="189"/>
      <c r="SPA24" s="189"/>
      <c r="SPB24" s="189"/>
      <c r="SPC24" s="189"/>
      <c r="SPD24" s="189"/>
      <c r="SPE24" s="189"/>
      <c r="SPF24" s="189"/>
      <c r="SPG24" s="189"/>
      <c r="SPH24" s="189"/>
      <c r="SPI24" s="189"/>
      <c r="SPJ24" s="189"/>
      <c r="SPK24" s="189"/>
      <c r="SPL24" s="189"/>
      <c r="SPM24" s="189"/>
      <c r="SPN24" s="189"/>
      <c r="SPO24" s="189"/>
      <c r="SPP24" s="189"/>
      <c r="SPQ24" s="189"/>
      <c r="SPR24" s="189"/>
      <c r="SPS24" s="189"/>
      <c r="SPT24" s="189"/>
      <c r="SPU24" s="189"/>
      <c r="SPV24" s="189"/>
      <c r="SPW24" s="189"/>
      <c r="SPX24" s="189"/>
      <c r="SPY24" s="189"/>
      <c r="SPZ24" s="189"/>
      <c r="SQA24" s="189"/>
      <c r="SQB24" s="189"/>
      <c r="SQC24" s="189"/>
      <c r="SQD24" s="189"/>
      <c r="SQE24" s="189"/>
      <c r="SQF24" s="189"/>
      <c r="SQG24" s="189"/>
      <c r="SQH24" s="189"/>
      <c r="SQI24" s="189"/>
      <c r="SQJ24" s="189"/>
      <c r="SQK24" s="189"/>
      <c r="SQL24" s="189"/>
      <c r="SQM24" s="189"/>
      <c r="SQN24" s="189"/>
      <c r="SQO24" s="189"/>
      <c r="SQP24" s="189"/>
      <c r="SQQ24" s="189"/>
      <c r="SQR24" s="189"/>
      <c r="SQS24" s="189"/>
      <c r="SQT24" s="189"/>
      <c r="SQU24" s="189"/>
      <c r="SQV24" s="189"/>
      <c r="SQW24" s="189"/>
      <c r="SQX24" s="189"/>
      <c r="SQY24" s="189"/>
      <c r="SQZ24" s="189"/>
      <c r="SRA24" s="189"/>
      <c r="SRB24" s="189"/>
      <c r="SRC24" s="189"/>
      <c r="SRD24" s="189"/>
      <c r="SRE24" s="189"/>
      <c r="SRF24" s="189"/>
      <c r="SRG24" s="189"/>
      <c r="SRH24" s="189"/>
      <c r="SRI24" s="189"/>
      <c r="SRJ24" s="189"/>
      <c r="SRK24" s="189"/>
      <c r="SRL24" s="189"/>
      <c r="SRM24" s="189"/>
      <c r="SRN24" s="189"/>
      <c r="SRO24" s="189"/>
      <c r="SRP24" s="189"/>
      <c r="SRQ24" s="189"/>
      <c r="SRR24" s="189"/>
      <c r="SRS24" s="189"/>
      <c r="SRT24" s="189"/>
      <c r="SRU24" s="189"/>
      <c r="SRV24" s="189"/>
      <c r="SRW24" s="189"/>
      <c r="SRX24" s="189"/>
      <c r="SRY24" s="189"/>
      <c r="SRZ24" s="189"/>
      <c r="SSA24" s="189"/>
      <c r="SSB24" s="189"/>
      <c r="SSC24" s="189"/>
      <c r="SSD24" s="189"/>
      <c r="SSE24" s="189"/>
      <c r="SSF24" s="189"/>
      <c r="SSG24" s="189"/>
      <c r="SSH24" s="189"/>
      <c r="SSI24" s="189"/>
      <c r="SSJ24" s="189"/>
      <c r="SSK24" s="189"/>
      <c r="SSL24" s="189"/>
      <c r="SSM24" s="189"/>
      <c r="SSN24" s="189"/>
      <c r="SSO24" s="189"/>
      <c r="SSP24" s="189"/>
      <c r="SSQ24" s="189"/>
      <c r="SSR24" s="189"/>
      <c r="SSS24" s="189"/>
      <c r="SST24" s="189"/>
      <c r="SSU24" s="189"/>
      <c r="SSV24" s="189"/>
      <c r="SSW24" s="189"/>
      <c r="SSX24" s="189"/>
      <c r="SSY24" s="189"/>
      <c r="SSZ24" s="189"/>
      <c r="STA24" s="189"/>
      <c r="STB24" s="189"/>
      <c r="STC24" s="189"/>
      <c r="STD24" s="189"/>
      <c r="STE24" s="189"/>
      <c r="STF24" s="189"/>
      <c r="STG24" s="189"/>
      <c r="STH24" s="189"/>
      <c r="STI24" s="189"/>
      <c r="STJ24" s="189"/>
      <c r="STK24" s="189"/>
      <c r="STL24" s="189"/>
      <c r="STM24" s="189"/>
      <c r="STN24" s="189"/>
      <c r="STO24" s="189"/>
      <c r="STP24" s="189"/>
      <c r="STQ24" s="189"/>
      <c r="STR24" s="189"/>
      <c r="STS24" s="189"/>
      <c r="STT24" s="189"/>
      <c r="STU24" s="189"/>
      <c r="STV24" s="189"/>
      <c r="STW24" s="189"/>
      <c r="STX24" s="189"/>
      <c r="STY24" s="189"/>
      <c r="STZ24" s="189"/>
      <c r="SUA24" s="189"/>
      <c r="SUB24" s="189"/>
      <c r="SUC24" s="189"/>
      <c r="SUD24" s="189"/>
      <c r="SUE24" s="189"/>
      <c r="SUF24" s="189"/>
      <c r="SUG24" s="189"/>
      <c r="SUH24" s="189"/>
      <c r="SUI24" s="189"/>
      <c r="SUJ24" s="189"/>
      <c r="SUK24" s="189"/>
      <c r="SUL24" s="189"/>
      <c r="SUM24" s="189"/>
      <c r="SUN24" s="189"/>
      <c r="SUO24" s="189"/>
      <c r="SUP24" s="189"/>
      <c r="SUQ24" s="189"/>
      <c r="SUR24" s="189"/>
      <c r="SUS24" s="189"/>
      <c r="SUT24" s="189"/>
      <c r="SUU24" s="189"/>
      <c r="SUV24" s="189"/>
      <c r="SUW24" s="189"/>
      <c r="SUX24" s="189"/>
      <c r="SUY24" s="189"/>
      <c r="SUZ24" s="189"/>
      <c r="SVA24" s="189"/>
      <c r="SVB24" s="189"/>
      <c r="SVC24" s="189"/>
      <c r="SVD24" s="189"/>
      <c r="SVE24" s="189"/>
      <c r="SVF24" s="189"/>
      <c r="SVG24" s="189"/>
      <c r="SVH24" s="189"/>
      <c r="SVI24" s="189"/>
      <c r="SVJ24" s="189"/>
      <c r="SVK24" s="189"/>
      <c r="SVL24" s="189"/>
      <c r="SVM24" s="189"/>
      <c r="SVN24" s="189"/>
      <c r="SVO24" s="189"/>
      <c r="SVP24" s="189"/>
      <c r="SVQ24" s="189"/>
      <c r="SVR24" s="189"/>
      <c r="SVS24" s="189"/>
      <c r="SVT24" s="189"/>
      <c r="SVU24" s="189"/>
      <c r="SVV24" s="189"/>
      <c r="SVW24" s="189"/>
      <c r="SVX24" s="189"/>
      <c r="SVY24" s="189"/>
      <c r="SVZ24" s="189"/>
      <c r="SWA24" s="189"/>
      <c r="SWB24" s="189"/>
      <c r="SWC24" s="189"/>
      <c r="SWD24" s="189"/>
      <c r="SWE24" s="189"/>
      <c r="SWF24" s="189"/>
      <c r="SWG24" s="189"/>
      <c r="SWH24" s="189"/>
      <c r="SWI24" s="189"/>
      <c r="SWJ24" s="189"/>
      <c r="SWK24" s="189"/>
      <c r="SWL24" s="189"/>
      <c r="SWM24" s="189"/>
      <c r="SWN24" s="189"/>
      <c r="SWO24" s="189"/>
      <c r="SWP24" s="189"/>
      <c r="SWQ24" s="189"/>
      <c r="SWR24" s="189"/>
      <c r="SWS24" s="189"/>
      <c r="SWT24" s="189"/>
      <c r="SWU24" s="189"/>
      <c r="SWV24" s="189"/>
      <c r="SWW24" s="189"/>
      <c r="SWX24" s="189"/>
      <c r="SWY24" s="189"/>
      <c r="SWZ24" s="189"/>
      <c r="SXA24" s="189"/>
      <c r="SXB24" s="189"/>
      <c r="SXC24" s="189"/>
      <c r="SXD24" s="189"/>
      <c r="SXE24" s="189"/>
      <c r="SXF24" s="189"/>
      <c r="SXG24" s="189"/>
      <c r="SXH24" s="189"/>
      <c r="SXI24" s="189"/>
      <c r="SXJ24" s="189"/>
      <c r="SXK24" s="189"/>
      <c r="SXL24" s="189"/>
      <c r="SXM24" s="189"/>
      <c r="SXN24" s="189"/>
      <c r="SXO24" s="189"/>
      <c r="SXP24" s="189"/>
      <c r="SXQ24" s="189"/>
      <c r="SXR24" s="189"/>
      <c r="SXS24" s="189"/>
      <c r="SXT24" s="189"/>
      <c r="SXU24" s="189"/>
      <c r="SXV24" s="189"/>
      <c r="SXW24" s="189"/>
      <c r="SXX24" s="189"/>
      <c r="SXY24" s="189"/>
      <c r="SXZ24" s="189"/>
      <c r="SYA24" s="189"/>
      <c r="SYB24" s="189"/>
      <c r="SYC24" s="189"/>
      <c r="SYD24" s="189"/>
      <c r="SYE24" s="189"/>
      <c r="SYF24" s="189"/>
      <c r="SYG24" s="189"/>
      <c r="SYH24" s="189"/>
      <c r="SYI24" s="189"/>
      <c r="SYJ24" s="189"/>
      <c r="SYK24" s="189"/>
      <c r="SYL24" s="189"/>
      <c r="SYM24" s="189"/>
      <c r="SYN24" s="189"/>
      <c r="SYO24" s="189"/>
      <c r="SYP24" s="189"/>
      <c r="SYQ24" s="189"/>
      <c r="SYR24" s="189"/>
      <c r="SYS24" s="189"/>
      <c r="SYT24" s="189"/>
      <c r="SYU24" s="189"/>
      <c r="SYV24" s="189"/>
      <c r="SYW24" s="189"/>
      <c r="SYX24" s="189"/>
      <c r="SYY24" s="189"/>
      <c r="SYZ24" s="189"/>
      <c r="SZA24" s="189"/>
      <c r="SZB24" s="189"/>
      <c r="SZC24" s="189"/>
      <c r="SZD24" s="189"/>
      <c r="SZE24" s="189"/>
      <c r="SZF24" s="189"/>
      <c r="SZG24" s="189"/>
      <c r="SZH24" s="189"/>
      <c r="SZI24" s="189"/>
      <c r="SZJ24" s="189"/>
      <c r="SZK24" s="189"/>
      <c r="SZL24" s="189"/>
      <c r="SZM24" s="189"/>
      <c r="SZN24" s="189"/>
      <c r="SZO24" s="189"/>
      <c r="SZP24" s="189"/>
      <c r="SZQ24" s="189"/>
      <c r="SZR24" s="189"/>
      <c r="SZS24" s="189"/>
      <c r="SZT24" s="189"/>
      <c r="SZU24" s="189"/>
      <c r="SZV24" s="189"/>
      <c r="SZW24" s="189"/>
      <c r="SZX24" s="189"/>
      <c r="SZY24" s="189"/>
      <c r="SZZ24" s="189"/>
      <c r="TAA24" s="189"/>
      <c r="TAB24" s="189"/>
      <c r="TAC24" s="189"/>
      <c r="TAD24" s="189"/>
      <c r="TAE24" s="189"/>
      <c r="TAF24" s="189"/>
      <c r="TAG24" s="189"/>
      <c r="TAH24" s="189"/>
      <c r="TAI24" s="189"/>
      <c r="TAJ24" s="189"/>
      <c r="TAK24" s="189"/>
      <c r="TAL24" s="189"/>
      <c r="TAM24" s="189"/>
      <c r="TAN24" s="189"/>
      <c r="TAO24" s="189"/>
      <c r="TAP24" s="189"/>
      <c r="TAQ24" s="189"/>
      <c r="TAR24" s="189"/>
      <c r="TAS24" s="189"/>
      <c r="TAT24" s="189"/>
      <c r="TAU24" s="189"/>
      <c r="TAV24" s="189"/>
      <c r="TAW24" s="189"/>
      <c r="TAX24" s="189"/>
      <c r="TAY24" s="189"/>
      <c r="TAZ24" s="189"/>
      <c r="TBA24" s="189"/>
      <c r="TBB24" s="189"/>
      <c r="TBC24" s="189"/>
      <c r="TBD24" s="189"/>
      <c r="TBE24" s="189"/>
      <c r="TBF24" s="189"/>
      <c r="TBG24" s="189"/>
      <c r="TBH24" s="189"/>
      <c r="TBI24" s="189"/>
      <c r="TBJ24" s="189"/>
      <c r="TBK24" s="189"/>
      <c r="TBL24" s="189"/>
      <c r="TBM24" s="189"/>
      <c r="TBN24" s="189"/>
      <c r="TBO24" s="189"/>
      <c r="TBP24" s="189"/>
      <c r="TBQ24" s="189"/>
      <c r="TBR24" s="189"/>
      <c r="TBS24" s="189"/>
      <c r="TBT24" s="189"/>
      <c r="TBU24" s="189"/>
      <c r="TBV24" s="189"/>
      <c r="TBW24" s="189"/>
      <c r="TBX24" s="189"/>
      <c r="TBY24" s="189"/>
      <c r="TBZ24" s="189"/>
      <c r="TCA24" s="189"/>
      <c r="TCB24" s="189"/>
      <c r="TCC24" s="189"/>
      <c r="TCD24" s="189"/>
      <c r="TCE24" s="189"/>
      <c r="TCF24" s="189"/>
      <c r="TCG24" s="189"/>
      <c r="TCH24" s="189"/>
      <c r="TCI24" s="189"/>
      <c r="TCJ24" s="189"/>
      <c r="TCK24" s="189"/>
      <c r="TCL24" s="189"/>
      <c r="TCM24" s="189"/>
      <c r="TCN24" s="189"/>
      <c r="TCO24" s="189"/>
      <c r="TCP24" s="189"/>
      <c r="TCQ24" s="189"/>
      <c r="TCR24" s="189"/>
      <c r="TCS24" s="189"/>
      <c r="TCT24" s="189"/>
      <c r="TCU24" s="189"/>
      <c r="TCV24" s="189"/>
      <c r="TCW24" s="189"/>
      <c r="TCX24" s="189"/>
      <c r="TCY24" s="189"/>
      <c r="TCZ24" s="189"/>
      <c r="TDA24" s="189"/>
      <c r="TDB24" s="189"/>
      <c r="TDC24" s="189"/>
      <c r="TDD24" s="189"/>
      <c r="TDE24" s="189"/>
      <c r="TDF24" s="189"/>
      <c r="TDG24" s="189"/>
      <c r="TDH24" s="189"/>
      <c r="TDI24" s="189"/>
      <c r="TDJ24" s="189"/>
      <c r="TDK24" s="189"/>
      <c r="TDL24" s="189"/>
      <c r="TDM24" s="189"/>
      <c r="TDN24" s="189"/>
      <c r="TDO24" s="189"/>
      <c r="TDP24" s="189"/>
      <c r="TDQ24" s="189"/>
      <c r="TDR24" s="189"/>
      <c r="TDS24" s="189"/>
      <c r="TDT24" s="189"/>
      <c r="TDU24" s="189"/>
      <c r="TDV24" s="189"/>
      <c r="TDW24" s="189"/>
      <c r="TDX24" s="189"/>
      <c r="TDY24" s="189"/>
      <c r="TDZ24" s="189"/>
      <c r="TEA24" s="189"/>
      <c r="TEB24" s="189"/>
      <c r="TEC24" s="189"/>
      <c r="TED24" s="189"/>
      <c r="TEE24" s="189"/>
      <c r="TEF24" s="189"/>
      <c r="TEG24" s="189"/>
      <c r="TEH24" s="189"/>
      <c r="TEI24" s="189"/>
      <c r="TEJ24" s="189"/>
      <c r="TEK24" s="189"/>
      <c r="TEL24" s="189"/>
      <c r="TEM24" s="189"/>
      <c r="TEN24" s="189"/>
      <c r="TEO24" s="189"/>
      <c r="TEP24" s="189"/>
      <c r="TEQ24" s="189"/>
      <c r="TER24" s="189"/>
      <c r="TES24" s="189"/>
      <c r="TET24" s="189"/>
      <c r="TEU24" s="189"/>
      <c r="TEV24" s="189"/>
      <c r="TEW24" s="189"/>
      <c r="TEX24" s="189"/>
      <c r="TEY24" s="189"/>
      <c r="TEZ24" s="189"/>
      <c r="TFA24" s="189"/>
      <c r="TFB24" s="189"/>
      <c r="TFC24" s="189"/>
      <c r="TFD24" s="189"/>
      <c r="TFE24" s="189"/>
      <c r="TFF24" s="189"/>
      <c r="TFG24" s="189"/>
      <c r="TFH24" s="189"/>
      <c r="TFI24" s="189"/>
      <c r="TFJ24" s="189"/>
      <c r="TFK24" s="189"/>
      <c r="TFL24" s="189"/>
      <c r="TFM24" s="189"/>
      <c r="TFN24" s="189"/>
      <c r="TFO24" s="189"/>
      <c r="TFP24" s="189"/>
      <c r="TFQ24" s="189"/>
      <c r="TFR24" s="189"/>
      <c r="TFS24" s="189"/>
      <c r="TFT24" s="189"/>
      <c r="TFU24" s="189"/>
      <c r="TFV24" s="189"/>
      <c r="TFW24" s="189"/>
      <c r="TFX24" s="189"/>
      <c r="TFY24" s="189"/>
      <c r="TFZ24" s="189"/>
      <c r="TGA24" s="189"/>
      <c r="TGB24" s="189"/>
      <c r="TGC24" s="189"/>
      <c r="TGD24" s="189"/>
      <c r="TGE24" s="189"/>
      <c r="TGF24" s="189"/>
      <c r="TGG24" s="189"/>
      <c r="TGH24" s="189"/>
      <c r="TGI24" s="189"/>
      <c r="TGJ24" s="189"/>
      <c r="TGK24" s="189"/>
      <c r="TGL24" s="189"/>
      <c r="TGM24" s="189"/>
      <c r="TGN24" s="189"/>
      <c r="TGO24" s="189"/>
      <c r="TGP24" s="189"/>
      <c r="TGQ24" s="189"/>
      <c r="TGR24" s="189"/>
      <c r="TGS24" s="189"/>
      <c r="TGT24" s="189"/>
      <c r="TGU24" s="189"/>
      <c r="TGV24" s="189"/>
      <c r="TGW24" s="189"/>
      <c r="TGX24" s="189"/>
      <c r="TGY24" s="189"/>
      <c r="TGZ24" s="189"/>
      <c r="THA24" s="189"/>
      <c r="THB24" s="189"/>
      <c r="THC24" s="189"/>
      <c r="THD24" s="189"/>
      <c r="THE24" s="189"/>
      <c r="THF24" s="189"/>
      <c r="THG24" s="189"/>
      <c r="THH24" s="189"/>
      <c r="THI24" s="189"/>
      <c r="THJ24" s="189"/>
      <c r="THK24" s="189"/>
      <c r="THL24" s="189"/>
      <c r="THM24" s="189"/>
      <c r="THN24" s="189"/>
      <c r="THO24" s="189"/>
      <c r="THP24" s="189"/>
      <c r="THQ24" s="189"/>
      <c r="THR24" s="189"/>
      <c r="THS24" s="189"/>
      <c r="THT24" s="189"/>
      <c r="THU24" s="189"/>
      <c r="THV24" s="189"/>
      <c r="THW24" s="189"/>
      <c r="THX24" s="189"/>
      <c r="THY24" s="189"/>
      <c r="THZ24" s="189"/>
      <c r="TIA24" s="189"/>
      <c r="TIB24" s="189"/>
      <c r="TIC24" s="189"/>
      <c r="TID24" s="189"/>
      <c r="TIE24" s="189"/>
      <c r="TIF24" s="189"/>
      <c r="TIG24" s="189"/>
      <c r="TIH24" s="189"/>
      <c r="TII24" s="189"/>
      <c r="TIJ24" s="189"/>
      <c r="TIK24" s="189"/>
      <c r="TIL24" s="189"/>
      <c r="TIM24" s="189"/>
      <c r="TIN24" s="189"/>
      <c r="TIO24" s="189"/>
      <c r="TIP24" s="189"/>
      <c r="TIQ24" s="189"/>
      <c r="TIR24" s="189"/>
      <c r="TIS24" s="189"/>
      <c r="TIT24" s="189"/>
      <c r="TIU24" s="189"/>
      <c r="TIV24" s="189"/>
      <c r="TIW24" s="189"/>
      <c r="TIX24" s="189"/>
      <c r="TIY24" s="189"/>
      <c r="TIZ24" s="189"/>
      <c r="TJA24" s="189"/>
      <c r="TJB24" s="189"/>
      <c r="TJC24" s="189"/>
      <c r="TJD24" s="189"/>
      <c r="TJE24" s="189"/>
      <c r="TJF24" s="189"/>
      <c r="TJG24" s="189"/>
      <c r="TJH24" s="189"/>
      <c r="TJI24" s="189"/>
      <c r="TJJ24" s="189"/>
      <c r="TJK24" s="189"/>
      <c r="TJL24" s="189"/>
      <c r="TJM24" s="189"/>
      <c r="TJN24" s="189"/>
      <c r="TJO24" s="189"/>
      <c r="TJP24" s="189"/>
      <c r="TJQ24" s="189"/>
      <c r="TJR24" s="189"/>
      <c r="TJS24" s="189"/>
      <c r="TJT24" s="189"/>
      <c r="TJU24" s="189"/>
      <c r="TJV24" s="189"/>
      <c r="TJW24" s="189"/>
      <c r="TJX24" s="189"/>
      <c r="TJY24" s="189"/>
      <c r="TJZ24" s="189"/>
      <c r="TKA24" s="189"/>
      <c r="TKB24" s="189"/>
      <c r="TKC24" s="189"/>
      <c r="TKD24" s="189"/>
      <c r="TKE24" s="189"/>
      <c r="TKF24" s="189"/>
      <c r="TKG24" s="189"/>
      <c r="TKH24" s="189"/>
      <c r="TKI24" s="189"/>
      <c r="TKJ24" s="189"/>
      <c r="TKK24" s="189"/>
      <c r="TKL24" s="189"/>
      <c r="TKM24" s="189"/>
      <c r="TKN24" s="189"/>
      <c r="TKO24" s="189"/>
      <c r="TKP24" s="189"/>
      <c r="TKQ24" s="189"/>
      <c r="TKR24" s="189"/>
      <c r="TKS24" s="189"/>
      <c r="TKT24" s="189"/>
      <c r="TKU24" s="189"/>
      <c r="TKV24" s="189"/>
      <c r="TKW24" s="189"/>
      <c r="TKX24" s="189"/>
      <c r="TKY24" s="189"/>
      <c r="TKZ24" s="189"/>
      <c r="TLA24" s="189"/>
      <c r="TLB24" s="189"/>
      <c r="TLC24" s="189"/>
      <c r="TLD24" s="189"/>
      <c r="TLE24" s="189"/>
      <c r="TLF24" s="189"/>
      <c r="TLG24" s="189"/>
      <c r="TLH24" s="189"/>
      <c r="TLI24" s="189"/>
      <c r="TLJ24" s="189"/>
      <c r="TLK24" s="189"/>
      <c r="TLL24" s="189"/>
      <c r="TLM24" s="189"/>
      <c r="TLN24" s="189"/>
      <c r="TLO24" s="189"/>
      <c r="TLP24" s="189"/>
      <c r="TLQ24" s="189"/>
      <c r="TLR24" s="189"/>
      <c r="TLS24" s="189"/>
      <c r="TLT24" s="189"/>
      <c r="TLU24" s="189"/>
      <c r="TLV24" s="189"/>
      <c r="TLW24" s="189"/>
      <c r="TLX24" s="189"/>
      <c r="TLY24" s="189"/>
      <c r="TLZ24" s="189"/>
      <c r="TMA24" s="189"/>
      <c r="TMB24" s="189"/>
      <c r="TMC24" s="189"/>
      <c r="TMD24" s="189"/>
      <c r="TME24" s="189"/>
      <c r="TMF24" s="189"/>
      <c r="TMG24" s="189"/>
      <c r="TMH24" s="189"/>
      <c r="TMI24" s="189"/>
      <c r="TMJ24" s="189"/>
      <c r="TMK24" s="189"/>
      <c r="TML24" s="189"/>
      <c r="TMM24" s="189"/>
      <c r="TMN24" s="189"/>
      <c r="TMO24" s="189"/>
      <c r="TMP24" s="189"/>
      <c r="TMQ24" s="189"/>
      <c r="TMR24" s="189"/>
      <c r="TMS24" s="189"/>
      <c r="TMT24" s="189"/>
      <c r="TMU24" s="189"/>
      <c r="TMV24" s="189"/>
      <c r="TMW24" s="189"/>
      <c r="TMX24" s="189"/>
      <c r="TMY24" s="189"/>
      <c r="TMZ24" s="189"/>
      <c r="TNA24" s="189"/>
      <c r="TNB24" s="189"/>
      <c r="TNC24" s="189"/>
      <c r="TND24" s="189"/>
      <c r="TNE24" s="189"/>
      <c r="TNF24" s="189"/>
      <c r="TNG24" s="189"/>
      <c r="TNH24" s="189"/>
      <c r="TNI24" s="189"/>
      <c r="TNJ24" s="189"/>
      <c r="TNK24" s="189"/>
      <c r="TNL24" s="189"/>
      <c r="TNM24" s="189"/>
      <c r="TNN24" s="189"/>
      <c r="TNO24" s="189"/>
      <c r="TNP24" s="189"/>
      <c r="TNQ24" s="189"/>
      <c r="TNR24" s="189"/>
      <c r="TNS24" s="189"/>
      <c r="TNT24" s="189"/>
      <c r="TNU24" s="189"/>
      <c r="TNV24" s="189"/>
      <c r="TNW24" s="189"/>
      <c r="TNX24" s="189"/>
      <c r="TNY24" s="189"/>
      <c r="TNZ24" s="189"/>
      <c r="TOA24" s="189"/>
      <c r="TOB24" s="189"/>
      <c r="TOC24" s="189"/>
      <c r="TOD24" s="189"/>
      <c r="TOE24" s="189"/>
      <c r="TOF24" s="189"/>
      <c r="TOG24" s="189"/>
      <c r="TOH24" s="189"/>
      <c r="TOI24" s="189"/>
      <c r="TOJ24" s="189"/>
      <c r="TOK24" s="189"/>
      <c r="TOL24" s="189"/>
      <c r="TOM24" s="189"/>
      <c r="TON24" s="189"/>
      <c r="TOO24" s="189"/>
      <c r="TOP24" s="189"/>
      <c r="TOQ24" s="189"/>
      <c r="TOR24" s="189"/>
      <c r="TOS24" s="189"/>
      <c r="TOT24" s="189"/>
      <c r="TOU24" s="189"/>
      <c r="TOV24" s="189"/>
      <c r="TOW24" s="189"/>
      <c r="TOX24" s="189"/>
      <c r="TOY24" s="189"/>
      <c r="TOZ24" s="189"/>
      <c r="TPA24" s="189"/>
      <c r="TPB24" s="189"/>
      <c r="TPC24" s="189"/>
      <c r="TPD24" s="189"/>
      <c r="TPE24" s="189"/>
      <c r="TPF24" s="189"/>
      <c r="TPG24" s="189"/>
      <c r="TPH24" s="189"/>
      <c r="TPI24" s="189"/>
      <c r="TPJ24" s="189"/>
      <c r="TPK24" s="189"/>
      <c r="TPL24" s="189"/>
      <c r="TPM24" s="189"/>
      <c r="TPN24" s="189"/>
      <c r="TPO24" s="189"/>
      <c r="TPP24" s="189"/>
      <c r="TPQ24" s="189"/>
      <c r="TPR24" s="189"/>
      <c r="TPS24" s="189"/>
      <c r="TPT24" s="189"/>
      <c r="TPU24" s="189"/>
      <c r="TPV24" s="189"/>
      <c r="TPW24" s="189"/>
      <c r="TPX24" s="189"/>
      <c r="TPY24" s="189"/>
      <c r="TPZ24" s="189"/>
      <c r="TQA24" s="189"/>
      <c r="TQB24" s="189"/>
      <c r="TQC24" s="189"/>
      <c r="TQD24" s="189"/>
      <c r="TQE24" s="189"/>
      <c r="TQF24" s="189"/>
      <c r="TQG24" s="189"/>
      <c r="TQH24" s="189"/>
      <c r="TQI24" s="189"/>
      <c r="TQJ24" s="189"/>
      <c r="TQK24" s="189"/>
      <c r="TQL24" s="189"/>
      <c r="TQM24" s="189"/>
      <c r="TQN24" s="189"/>
      <c r="TQO24" s="189"/>
      <c r="TQP24" s="189"/>
      <c r="TQQ24" s="189"/>
      <c r="TQR24" s="189"/>
      <c r="TQS24" s="189"/>
      <c r="TQT24" s="189"/>
      <c r="TQU24" s="189"/>
      <c r="TQV24" s="189"/>
      <c r="TQW24" s="189"/>
      <c r="TQX24" s="189"/>
      <c r="TQY24" s="189"/>
      <c r="TQZ24" s="189"/>
      <c r="TRA24" s="189"/>
      <c r="TRB24" s="189"/>
      <c r="TRC24" s="189"/>
      <c r="TRD24" s="189"/>
      <c r="TRE24" s="189"/>
      <c r="TRF24" s="189"/>
      <c r="TRG24" s="189"/>
      <c r="TRH24" s="189"/>
      <c r="TRI24" s="189"/>
      <c r="TRJ24" s="189"/>
      <c r="TRK24" s="189"/>
      <c r="TRL24" s="189"/>
      <c r="TRM24" s="189"/>
      <c r="TRN24" s="189"/>
      <c r="TRO24" s="189"/>
      <c r="TRP24" s="189"/>
      <c r="TRQ24" s="189"/>
      <c r="TRR24" s="189"/>
      <c r="TRS24" s="189"/>
      <c r="TRT24" s="189"/>
      <c r="TRU24" s="189"/>
      <c r="TRV24" s="189"/>
      <c r="TRW24" s="189"/>
      <c r="TRX24" s="189"/>
      <c r="TRY24" s="189"/>
      <c r="TRZ24" s="189"/>
      <c r="TSA24" s="189"/>
      <c r="TSB24" s="189"/>
      <c r="TSC24" s="189"/>
      <c r="TSD24" s="189"/>
      <c r="TSE24" s="189"/>
      <c r="TSF24" s="189"/>
      <c r="TSG24" s="189"/>
      <c r="TSH24" s="189"/>
      <c r="TSI24" s="189"/>
      <c r="TSJ24" s="189"/>
      <c r="TSK24" s="189"/>
      <c r="TSL24" s="189"/>
      <c r="TSM24" s="189"/>
      <c r="TSN24" s="189"/>
      <c r="TSO24" s="189"/>
      <c r="TSP24" s="189"/>
      <c r="TSQ24" s="189"/>
      <c r="TSR24" s="189"/>
      <c r="TSS24" s="189"/>
      <c r="TST24" s="189"/>
      <c r="TSU24" s="189"/>
      <c r="TSV24" s="189"/>
      <c r="TSW24" s="189"/>
      <c r="TSX24" s="189"/>
      <c r="TSY24" s="189"/>
      <c r="TSZ24" s="189"/>
      <c r="TTA24" s="189"/>
      <c r="TTB24" s="189"/>
      <c r="TTC24" s="189"/>
      <c r="TTD24" s="189"/>
      <c r="TTE24" s="189"/>
      <c r="TTF24" s="189"/>
      <c r="TTG24" s="189"/>
      <c r="TTH24" s="189"/>
      <c r="TTI24" s="189"/>
      <c r="TTJ24" s="189"/>
      <c r="TTK24" s="189"/>
      <c r="TTL24" s="189"/>
      <c r="TTM24" s="189"/>
      <c r="TTN24" s="189"/>
      <c r="TTO24" s="189"/>
      <c r="TTP24" s="189"/>
      <c r="TTQ24" s="189"/>
      <c r="TTR24" s="189"/>
      <c r="TTS24" s="189"/>
      <c r="TTT24" s="189"/>
      <c r="TTU24" s="189"/>
      <c r="TTV24" s="189"/>
      <c r="TTW24" s="189"/>
      <c r="TTX24" s="189"/>
      <c r="TTY24" s="189"/>
      <c r="TTZ24" s="189"/>
      <c r="TUA24" s="189"/>
      <c r="TUB24" s="189"/>
      <c r="TUC24" s="189"/>
      <c r="TUD24" s="189"/>
      <c r="TUE24" s="189"/>
      <c r="TUF24" s="189"/>
      <c r="TUG24" s="189"/>
      <c r="TUH24" s="189"/>
      <c r="TUI24" s="189"/>
      <c r="TUJ24" s="189"/>
      <c r="TUK24" s="189"/>
      <c r="TUL24" s="189"/>
      <c r="TUM24" s="189"/>
      <c r="TUN24" s="189"/>
      <c r="TUO24" s="189"/>
      <c r="TUP24" s="189"/>
      <c r="TUQ24" s="189"/>
      <c r="TUR24" s="189"/>
      <c r="TUS24" s="189"/>
      <c r="TUT24" s="189"/>
      <c r="TUU24" s="189"/>
      <c r="TUV24" s="189"/>
      <c r="TUW24" s="189"/>
      <c r="TUX24" s="189"/>
      <c r="TUY24" s="189"/>
      <c r="TUZ24" s="189"/>
      <c r="TVA24" s="189"/>
      <c r="TVB24" s="189"/>
      <c r="TVC24" s="189"/>
      <c r="TVD24" s="189"/>
      <c r="TVE24" s="189"/>
      <c r="TVF24" s="189"/>
      <c r="TVG24" s="189"/>
      <c r="TVH24" s="189"/>
      <c r="TVI24" s="189"/>
      <c r="TVJ24" s="189"/>
      <c r="TVK24" s="189"/>
      <c r="TVL24" s="189"/>
      <c r="TVM24" s="189"/>
      <c r="TVN24" s="189"/>
      <c r="TVO24" s="189"/>
      <c r="TVP24" s="189"/>
      <c r="TVQ24" s="189"/>
      <c r="TVR24" s="189"/>
      <c r="TVS24" s="189"/>
      <c r="TVT24" s="189"/>
      <c r="TVU24" s="189"/>
      <c r="TVV24" s="189"/>
      <c r="TVW24" s="189"/>
      <c r="TVX24" s="189"/>
      <c r="TVY24" s="189"/>
      <c r="TVZ24" s="189"/>
      <c r="TWA24" s="189"/>
      <c r="TWB24" s="189"/>
      <c r="TWC24" s="189"/>
      <c r="TWD24" s="189"/>
      <c r="TWE24" s="189"/>
      <c r="TWF24" s="189"/>
      <c r="TWG24" s="189"/>
      <c r="TWH24" s="189"/>
      <c r="TWI24" s="189"/>
      <c r="TWJ24" s="189"/>
      <c r="TWK24" s="189"/>
      <c r="TWL24" s="189"/>
      <c r="TWM24" s="189"/>
      <c r="TWN24" s="189"/>
      <c r="TWO24" s="189"/>
      <c r="TWP24" s="189"/>
      <c r="TWQ24" s="189"/>
      <c r="TWR24" s="189"/>
      <c r="TWS24" s="189"/>
      <c r="TWT24" s="189"/>
      <c r="TWU24" s="189"/>
      <c r="TWV24" s="189"/>
      <c r="TWW24" s="189"/>
      <c r="TWX24" s="189"/>
      <c r="TWY24" s="189"/>
      <c r="TWZ24" s="189"/>
      <c r="TXA24" s="189"/>
      <c r="TXB24" s="189"/>
      <c r="TXC24" s="189"/>
      <c r="TXD24" s="189"/>
      <c r="TXE24" s="189"/>
      <c r="TXF24" s="189"/>
      <c r="TXG24" s="189"/>
      <c r="TXH24" s="189"/>
      <c r="TXI24" s="189"/>
      <c r="TXJ24" s="189"/>
      <c r="TXK24" s="189"/>
      <c r="TXL24" s="189"/>
      <c r="TXM24" s="189"/>
      <c r="TXN24" s="189"/>
      <c r="TXO24" s="189"/>
      <c r="TXP24" s="189"/>
      <c r="TXQ24" s="189"/>
      <c r="TXR24" s="189"/>
      <c r="TXS24" s="189"/>
      <c r="TXT24" s="189"/>
      <c r="TXU24" s="189"/>
      <c r="TXV24" s="189"/>
      <c r="TXW24" s="189"/>
      <c r="TXX24" s="189"/>
      <c r="TXY24" s="189"/>
      <c r="TXZ24" s="189"/>
      <c r="TYA24" s="189"/>
      <c r="TYB24" s="189"/>
      <c r="TYC24" s="189"/>
      <c r="TYD24" s="189"/>
      <c r="TYE24" s="189"/>
      <c r="TYF24" s="189"/>
      <c r="TYG24" s="189"/>
      <c r="TYH24" s="189"/>
      <c r="TYI24" s="189"/>
      <c r="TYJ24" s="189"/>
      <c r="TYK24" s="189"/>
      <c r="TYL24" s="189"/>
      <c r="TYM24" s="189"/>
      <c r="TYN24" s="189"/>
      <c r="TYO24" s="189"/>
      <c r="TYP24" s="189"/>
      <c r="TYQ24" s="189"/>
      <c r="TYR24" s="189"/>
      <c r="TYS24" s="189"/>
      <c r="TYT24" s="189"/>
      <c r="TYU24" s="189"/>
      <c r="TYV24" s="189"/>
      <c r="TYW24" s="189"/>
      <c r="TYX24" s="189"/>
      <c r="TYY24" s="189"/>
      <c r="TYZ24" s="189"/>
      <c r="TZA24" s="189"/>
      <c r="TZB24" s="189"/>
      <c r="TZC24" s="189"/>
      <c r="TZD24" s="189"/>
      <c r="TZE24" s="189"/>
      <c r="TZF24" s="189"/>
      <c r="TZG24" s="189"/>
      <c r="TZH24" s="189"/>
      <c r="TZI24" s="189"/>
      <c r="TZJ24" s="189"/>
      <c r="TZK24" s="189"/>
      <c r="TZL24" s="189"/>
      <c r="TZM24" s="189"/>
      <c r="TZN24" s="189"/>
      <c r="TZO24" s="189"/>
      <c r="TZP24" s="189"/>
      <c r="TZQ24" s="189"/>
      <c r="TZR24" s="189"/>
      <c r="TZS24" s="189"/>
      <c r="TZT24" s="189"/>
      <c r="TZU24" s="189"/>
      <c r="TZV24" s="189"/>
      <c r="TZW24" s="189"/>
      <c r="TZX24" s="189"/>
      <c r="TZY24" s="189"/>
      <c r="TZZ24" s="189"/>
      <c r="UAA24" s="189"/>
      <c r="UAB24" s="189"/>
      <c r="UAC24" s="189"/>
      <c r="UAD24" s="189"/>
      <c r="UAE24" s="189"/>
      <c r="UAF24" s="189"/>
      <c r="UAG24" s="189"/>
      <c r="UAH24" s="189"/>
      <c r="UAI24" s="189"/>
      <c r="UAJ24" s="189"/>
      <c r="UAK24" s="189"/>
      <c r="UAL24" s="189"/>
      <c r="UAM24" s="189"/>
      <c r="UAN24" s="189"/>
      <c r="UAO24" s="189"/>
      <c r="UAP24" s="189"/>
      <c r="UAQ24" s="189"/>
      <c r="UAR24" s="189"/>
      <c r="UAS24" s="189"/>
      <c r="UAT24" s="189"/>
      <c r="UAU24" s="189"/>
      <c r="UAV24" s="189"/>
      <c r="UAW24" s="189"/>
      <c r="UAX24" s="189"/>
      <c r="UAY24" s="189"/>
      <c r="UAZ24" s="189"/>
      <c r="UBA24" s="189"/>
      <c r="UBB24" s="189"/>
      <c r="UBC24" s="189"/>
      <c r="UBD24" s="189"/>
      <c r="UBE24" s="189"/>
      <c r="UBF24" s="189"/>
      <c r="UBG24" s="189"/>
      <c r="UBH24" s="189"/>
      <c r="UBI24" s="189"/>
      <c r="UBJ24" s="189"/>
      <c r="UBK24" s="189"/>
      <c r="UBL24" s="189"/>
      <c r="UBM24" s="189"/>
      <c r="UBN24" s="189"/>
      <c r="UBO24" s="189"/>
      <c r="UBP24" s="189"/>
      <c r="UBQ24" s="189"/>
      <c r="UBR24" s="189"/>
      <c r="UBS24" s="189"/>
      <c r="UBT24" s="189"/>
      <c r="UBU24" s="189"/>
      <c r="UBV24" s="189"/>
      <c r="UBW24" s="189"/>
      <c r="UBX24" s="189"/>
      <c r="UBY24" s="189"/>
      <c r="UBZ24" s="189"/>
      <c r="UCA24" s="189"/>
      <c r="UCB24" s="189"/>
      <c r="UCC24" s="189"/>
      <c r="UCD24" s="189"/>
      <c r="UCE24" s="189"/>
      <c r="UCF24" s="189"/>
      <c r="UCG24" s="189"/>
      <c r="UCH24" s="189"/>
      <c r="UCI24" s="189"/>
      <c r="UCJ24" s="189"/>
      <c r="UCK24" s="189"/>
      <c r="UCL24" s="189"/>
      <c r="UCM24" s="189"/>
      <c r="UCN24" s="189"/>
      <c r="UCO24" s="189"/>
      <c r="UCP24" s="189"/>
      <c r="UCQ24" s="189"/>
      <c r="UCR24" s="189"/>
      <c r="UCS24" s="189"/>
      <c r="UCT24" s="189"/>
      <c r="UCU24" s="189"/>
      <c r="UCV24" s="189"/>
      <c r="UCW24" s="189"/>
      <c r="UCX24" s="189"/>
      <c r="UCY24" s="189"/>
      <c r="UCZ24" s="189"/>
      <c r="UDA24" s="189"/>
      <c r="UDB24" s="189"/>
      <c r="UDC24" s="189"/>
      <c r="UDD24" s="189"/>
      <c r="UDE24" s="189"/>
      <c r="UDF24" s="189"/>
      <c r="UDG24" s="189"/>
      <c r="UDH24" s="189"/>
      <c r="UDI24" s="189"/>
      <c r="UDJ24" s="189"/>
      <c r="UDK24" s="189"/>
      <c r="UDL24" s="189"/>
      <c r="UDM24" s="189"/>
      <c r="UDN24" s="189"/>
      <c r="UDO24" s="189"/>
      <c r="UDP24" s="189"/>
      <c r="UDQ24" s="189"/>
      <c r="UDR24" s="189"/>
      <c r="UDS24" s="189"/>
      <c r="UDT24" s="189"/>
      <c r="UDU24" s="189"/>
      <c r="UDV24" s="189"/>
      <c r="UDW24" s="189"/>
      <c r="UDX24" s="189"/>
      <c r="UDY24" s="189"/>
      <c r="UDZ24" s="189"/>
      <c r="UEA24" s="189"/>
      <c r="UEB24" s="189"/>
      <c r="UEC24" s="189"/>
      <c r="UED24" s="189"/>
      <c r="UEE24" s="189"/>
      <c r="UEF24" s="189"/>
      <c r="UEG24" s="189"/>
      <c r="UEH24" s="189"/>
      <c r="UEI24" s="189"/>
      <c r="UEJ24" s="189"/>
      <c r="UEK24" s="189"/>
      <c r="UEL24" s="189"/>
      <c r="UEM24" s="189"/>
      <c r="UEN24" s="189"/>
      <c r="UEO24" s="189"/>
      <c r="UEP24" s="189"/>
      <c r="UEQ24" s="189"/>
      <c r="UER24" s="189"/>
      <c r="UES24" s="189"/>
      <c r="UET24" s="189"/>
      <c r="UEU24" s="189"/>
      <c r="UEV24" s="189"/>
      <c r="UEW24" s="189"/>
      <c r="UEX24" s="189"/>
      <c r="UEY24" s="189"/>
      <c r="UEZ24" s="189"/>
      <c r="UFA24" s="189"/>
      <c r="UFB24" s="189"/>
      <c r="UFC24" s="189"/>
      <c r="UFD24" s="189"/>
      <c r="UFE24" s="189"/>
      <c r="UFF24" s="189"/>
      <c r="UFG24" s="189"/>
      <c r="UFH24" s="189"/>
      <c r="UFI24" s="189"/>
      <c r="UFJ24" s="189"/>
      <c r="UFK24" s="189"/>
      <c r="UFL24" s="189"/>
      <c r="UFM24" s="189"/>
      <c r="UFN24" s="189"/>
      <c r="UFO24" s="189"/>
      <c r="UFP24" s="189"/>
      <c r="UFQ24" s="189"/>
      <c r="UFR24" s="189"/>
      <c r="UFS24" s="189"/>
      <c r="UFT24" s="189"/>
      <c r="UFU24" s="189"/>
      <c r="UFV24" s="189"/>
      <c r="UFW24" s="189"/>
      <c r="UFX24" s="189"/>
      <c r="UFY24" s="189"/>
      <c r="UFZ24" s="189"/>
      <c r="UGA24" s="189"/>
      <c r="UGB24" s="189"/>
      <c r="UGC24" s="189"/>
      <c r="UGD24" s="189"/>
      <c r="UGE24" s="189"/>
      <c r="UGF24" s="189"/>
      <c r="UGG24" s="189"/>
      <c r="UGH24" s="189"/>
      <c r="UGI24" s="189"/>
      <c r="UGJ24" s="189"/>
      <c r="UGK24" s="189"/>
      <c r="UGL24" s="189"/>
      <c r="UGM24" s="189"/>
      <c r="UGN24" s="189"/>
      <c r="UGO24" s="189"/>
      <c r="UGP24" s="189"/>
      <c r="UGQ24" s="189"/>
      <c r="UGR24" s="189"/>
      <c r="UGS24" s="189"/>
      <c r="UGT24" s="189"/>
      <c r="UGU24" s="189"/>
      <c r="UGV24" s="189"/>
      <c r="UGW24" s="189"/>
      <c r="UGX24" s="189"/>
      <c r="UGY24" s="189"/>
      <c r="UGZ24" s="189"/>
      <c r="UHA24" s="189"/>
      <c r="UHB24" s="189"/>
      <c r="UHC24" s="189"/>
      <c r="UHD24" s="189"/>
      <c r="UHE24" s="189"/>
      <c r="UHF24" s="189"/>
      <c r="UHG24" s="189"/>
      <c r="UHH24" s="189"/>
      <c r="UHI24" s="189"/>
      <c r="UHJ24" s="189"/>
      <c r="UHK24" s="189"/>
      <c r="UHL24" s="189"/>
      <c r="UHM24" s="189"/>
      <c r="UHN24" s="189"/>
      <c r="UHO24" s="189"/>
      <c r="UHP24" s="189"/>
      <c r="UHQ24" s="189"/>
      <c r="UHR24" s="189"/>
      <c r="UHS24" s="189"/>
      <c r="UHT24" s="189"/>
      <c r="UHU24" s="189"/>
      <c r="UHV24" s="189"/>
      <c r="UHW24" s="189"/>
      <c r="UHX24" s="189"/>
      <c r="UHY24" s="189"/>
      <c r="UHZ24" s="189"/>
      <c r="UIA24" s="189"/>
      <c r="UIB24" s="189"/>
      <c r="UIC24" s="189"/>
      <c r="UID24" s="189"/>
      <c r="UIE24" s="189"/>
      <c r="UIF24" s="189"/>
      <c r="UIG24" s="189"/>
      <c r="UIH24" s="189"/>
      <c r="UII24" s="189"/>
      <c r="UIJ24" s="189"/>
      <c r="UIK24" s="189"/>
      <c r="UIL24" s="189"/>
      <c r="UIM24" s="189"/>
      <c r="UIN24" s="189"/>
      <c r="UIO24" s="189"/>
      <c r="UIP24" s="189"/>
      <c r="UIQ24" s="189"/>
      <c r="UIR24" s="189"/>
      <c r="UIS24" s="189"/>
      <c r="UIT24" s="189"/>
      <c r="UIU24" s="189"/>
      <c r="UIV24" s="189"/>
      <c r="UIW24" s="189"/>
      <c r="UIX24" s="189"/>
      <c r="UIY24" s="189"/>
      <c r="UIZ24" s="189"/>
      <c r="UJA24" s="189"/>
      <c r="UJB24" s="189"/>
      <c r="UJC24" s="189"/>
      <c r="UJD24" s="189"/>
      <c r="UJE24" s="189"/>
      <c r="UJF24" s="189"/>
      <c r="UJG24" s="189"/>
      <c r="UJH24" s="189"/>
      <c r="UJI24" s="189"/>
      <c r="UJJ24" s="189"/>
      <c r="UJK24" s="189"/>
      <c r="UJL24" s="189"/>
      <c r="UJM24" s="189"/>
      <c r="UJN24" s="189"/>
      <c r="UJO24" s="189"/>
      <c r="UJP24" s="189"/>
      <c r="UJQ24" s="189"/>
      <c r="UJR24" s="189"/>
      <c r="UJS24" s="189"/>
      <c r="UJT24" s="189"/>
      <c r="UJU24" s="189"/>
      <c r="UJV24" s="189"/>
      <c r="UJW24" s="189"/>
      <c r="UJX24" s="189"/>
      <c r="UJY24" s="189"/>
      <c r="UJZ24" s="189"/>
      <c r="UKA24" s="189"/>
      <c r="UKB24" s="189"/>
      <c r="UKC24" s="189"/>
      <c r="UKD24" s="189"/>
      <c r="UKE24" s="189"/>
      <c r="UKF24" s="189"/>
      <c r="UKG24" s="189"/>
      <c r="UKH24" s="189"/>
      <c r="UKI24" s="189"/>
      <c r="UKJ24" s="189"/>
      <c r="UKK24" s="189"/>
      <c r="UKL24" s="189"/>
      <c r="UKM24" s="189"/>
      <c r="UKN24" s="189"/>
      <c r="UKO24" s="189"/>
      <c r="UKP24" s="189"/>
      <c r="UKQ24" s="189"/>
      <c r="UKR24" s="189"/>
      <c r="UKS24" s="189"/>
      <c r="UKT24" s="189"/>
      <c r="UKU24" s="189"/>
      <c r="UKV24" s="189"/>
      <c r="UKW24" s="189"/>
      <c r="UKX24" s="189"/>
      <c r="UKY24" s="189"/>
      <c r="UKZ24" s="189"/>
      <c r="ULA24" s="189"/>
      <c r="ULB24" s="189"/>
      <c r="ULC24" s="189"/>
      <c r="ULD24" s="189"/>
      <c r="ULE24" s="189"/>
      <c r="ULF24" s="189"/>
      <c r="ULG24" s="189"/>
      <c r="ULH24" s="189"/>
      <c r="ULI24" s="189"/>
      <c r="ULJ24" s="189"/>
      <c r="ULK24" s="189"/>
      <c r="ULL24" s="189"/>
      <c r="ULM24" s="189"/>
      <c r="ULN24" s="189"/>
      <c r="ULO24" s="189"/>
      <c r="ULP24" s="189"/>
      <c r="ULQ24" s="189"/>
      <c r="ULR24" s="189"/>
      <c r="ULS24" s="189"/>
      <c r="ULT24" s="189"/>
      <c r="ULU24" s="189"/>
      <c r="ULV24" s="189"/>
      <c r="ULW24" s="189"/>
      <c r="ULX24" s="189"/>
      <c r="ULY24" s="189"/>
      <c r="ULZ24" s="189"/>
      <c r="UMA24" s="189"/>
      <c r="UMB24" s="189"/>
      <c r="UMC24" s="189"/>
      <c r="UMD24" s="189"/>
      <c r="UME24" s="189"/>
      <c r="UMF24" s="189"/>
      <c r="UMG24" s="189"/>
      <c r="UMH24" s="189"/>
      <c r="UMI24" s="189"/>
      <c r="UMJ24" s="189"/>
      <c r="UMK24" s="189"/>
      <c r="UML24" s="189"/>
      <c r="UMM24" s="189"/>
      <c r="UMN24" s="189"/>
      <c r="UMO24" s="189"/>
      <c r="UMP24" s="189"/>
      <c r="UMQ24" s="189"/>
      <c r="UMR24" s="189"/>
      <c r="UMS24" s="189"/>
      <c r="UMT24" s="189"/>
      <c r="UMU24" s="189"/>
      <c r="UMV24" s="189"/>
      <c r="UMW24" s="189"/>
      <c r="UMX24" s="189"/>
      <c r="UMY24" s="189"/>
      <c r="UMZ24" s="189"/>
      <c r="UNA24" s="189"/>
      <c r="UNB24" s="189"/>
      <c r="UNC24" s="189"/>
      <c r="UND24" s="189"/>
      <c r="UNE24" s="189"/>
      <c r="UNF24" s="189"/>
      <c r="UNG24" s="189"/>
      <c r="UNH24" s="189"/>
      <c r="UNI24" s="189"/>
      <c r="UNJ24" s="189"/>
      <c r="UNK24" s="189"/>
      <c r="UNL24" s="189"/>
      <c r="UNM24" s="189"/>
      <c r="UNN24" s="189"/>
      <c r="UNO24" s="189"/>
      <c r="UNP24" s="189"/>
      <c r="UNQ24" s="189"/>
      <c r="UNR24" s="189"/>
      <c r="UNS24" s="189"/>
      <c r="UNT24" s="189"/>
      <c r="UNU24" s="189"/>
      <c r="UNV24" s="189"/>
      <c r="UNW24" s="189"/>
      <c r="UNX24" s="189"/>
      <c r="UNY24" s="189"/>
      <c r="UNZ24" s="189"/>
      <c r="UOA24" s="189"/>
      <c r="UOB24" s="189"/>
      <c r="UOC24" s="189"/>
      <c r="UOD24" s="189"/>
      <c r="UOE24" s="189"/>
      <c r="UOF24" s="189"/>
      <c r="UOG24" s="189"/>
      <c r="UOH24" s="189"/>
      <c r="UOI24" s="189"/>
      <c r="UOJ24" s="189"/>
      <c r="UOK24" s="189"/>
      <c r="UOL24" s="189"/>
      <c r="UOM24" s="189"/>
      <c r="UON24" s="189"/>
      <c r="UOO24" s="189"/>
      <c r="UOP24" s="189"/>
      <c r="UOQ24" s="189"/>
      <c r="UOR24" s="189"/>
      <c r="UOS24" s="189"/>
      <c r="UOT24" s="189"/>
      <c r="UOU24" s="189"/>
      <c r="UOV24" s="189"/>
      <c r="UOW24" s="189"/>
      <c r="UOX24" s="189"/>
      <c r="UOY24" s="189"/>
      <c r="UOZ24" s="189"/>
      <c r="UPA24" s="189"/>
      <c r="UPB24" s="189"/>
      <c r="UPC24" s="189"/>
      <c r="UPD24" s="189"/>
      <c r="UPE24" s="189"/>
      <c r="UPF24" s="189"/>
      <c r="UPG24" s="189"/>
      <c r="UPH24" s="189"/>
      <c r="UPI24" s="189"/>
      <c r="UPJ24" s="189"/>
      <c r="UPK24" s="189"/>
      <c r="UPL24" s="189"/>
      <c r="UPM24" s="189"/>
      <c r="UPN24" s="189"/>
      <c r="UPO24" s="189"/>
      <c r="UPP24" s="189"/>
      <c r="UPQ24" s="189"/>
      <c r="UPR24" s="189"/>
      <c r="UPS24" s="189"/>
      <c r="UPT24" s="189"/>
      <c r="UPU24" s="189"/>
      <c r="UPV24" s="189"/>
      <c r="UPW24" s="189"/>
      <c r="UPX24" s="189"/>
      <c r="UPY24" s="189"/>
      <c r="UPZ24" s="189"/>
      <c r="UQA24" s="189"/>
      <c r="UQB24" s="189"/>
      <c r="UQC24" s="189"/>
      <c r="UQD24" s="189"/>
      <c r="UQE24" s="189"/>
      <c r="UQF24" s="189"/>
      <c r="UQG24" s="189"/>
      <c r="UQH24" s="189"/>
      <c r="UQI24" s="189"/>
      <c r="UQJ24" s="189"/>
      <c r="UQK24" s="189"/>
      <c r="UQL24" s="189"/>
      <c r="UQM24" s="189"/>
      <c r="UQN24" s="189"/>
      <c r="UQO24" s="189"/>
      <c r="UQP24" s="189"/>
      <c r="UQQ24" s="189"/>
      <c r="UQR24" s="189"/>
      <c r="UQS24" s="189"/>
      <c r="UQT24" s="189"/>
      <c r="UQU24" s="189"/>
      <c r="UQV24" s="189"/>
      <c r="UQW24" s="189"/>
      <c r="UQX24" s="189"/>
      <c r="UQY24" s="189"/>
      <c r="UQZ24" s="189"/>
      <c r="URA24" s="189"/>
      <c r="URB24" s="189"/>
      <c r="URC24" s="189"/>
      <c r="URD24" s="189"/>
      <c r="URE24" s="189"/>
      <c r="URF24" s="189"/>
      <c r="URG24" s="189"/>
      <c r="URH24" s="189"/>
      <c r="URI24" s="189"/>
      <c r="URJ24" s="189"/>
      <c r="URK24" s="189"/>
      <c r="URL24" s="189"/>
      <c r="URM24" s="189"/>
      <c r="URN24" s="189"/>
      <c r="URO24" s="189"/>
      <c r="URP24" s="189"/>
      <c r="URQ24" s="189"/>
      <c r="URR24" s="189"/>
      <c r="URS24" s="189"/>
      <c r="URT24" s="189"/>
      <c r="URU24" s="189"/>
      <c r="URV24" s="189"/>
      <c r="URW24" s="189"/>
      <c r="URX24" s="189"/>
      <c r="URY24" s="189"/>
      <c r="URZ24" s="189"/>
      <c r="USA24" s="189"/>
      <c r="USB24" s="189"/>
      <c r="USC24" s="189"/>
      <c r="USD24" s="189"/>
      <c r="USE24" s="189"/>
      <c r="USF24" s="189"/>
      <c r="USG24" s="189"/>
      <c r="USH24" s="189"/>
      <c r="USI24" s="189"/>
      <c r="USJ24" s="189"/>
      <c r="USK24" s="189"/>
      <c r="USL24" s="189"/>
      <c r="USM24" s="189"/>
      <c r="USN24" s="189"/>
      <c r="USO24" s="189"/>
      <c r="USP24" s="189"/>
      <c r="USQ24" s="189"/>
      <c r="USR24" s="189"/>
      <c r="USS24" s="189"/>
      <c r="UST24" s="189"/>
      <c r="USU24" s="189"/>
      <c r="USV24" s="189"/>
      <c r="USW24" s="189"/>
      <c r="USX24" s="189"/>
      <c r="USY24" s="189"/>
      <c r="USZ24" s="189"/>
      <c r="UTA24" s="189"/>
      <c r="UTB24" s="189"/>
      <c r="UTC24" s="189"/>
      <c r="UTD24" s="189"/>
      <c r="UTE24" s="189"/>
      <c r="UTF24" s="189"/>
      <c r="UTG24" s="189"/>
      <c r="UTH24" s="189"/>
      <c r="UTI24" s="189"/>
      <c r="UTJ24" s="189"/>
      <c r="UTK24" s="189"/>
      <c r="UTL24" s="189"/>
      <c r="UTM24" s="189"/>
      <c r="UTN24" s="189"/>
      <c r="UTO24" s="189"/>
      <c r="UTP24" s="189"/>
      <c r="UTQ24" s="189"/>
      <c r="UTR24" s="189"/>
      <c r="UTS24" s="189"/>
      <c r="UTT24" s="189"/>
      <c r="UTU24" s="189"/>
      <c r="UTV24" s="189"/>
      <c r="UTW24" s="189"/>
      <c r="UTX24" s="189"/>
      <c r="UTY24" s="189"/>
      <c r="UTZ24" s="189"/>
      <c r="UUA24" s="189"/>
      <c r="UUB24" s="189"/>
      <c r="UUC24" s="189"/>
      <c r="UUD24" s="189"/>
      <c r="UUE24" s="189"/>
      <c r="UUF24" s="189"/>
      <c r="UUG24" s="189"/>
      <c r="UUH24" s="189"/>
      <c r="UUI24" s="189"/>
      <c r="UUJ24" s="189"/>
      <c r="UUK24" s="189"/>
      <c r="UUL24" s="189"/>
      <c r="UUM24" s="189"/>
      <c r="UUN24" s="189"/>
      <c r="UUO24" s="189"/>
      <c r="UUP24" s="189"/>
      <c r="UUQ24" s="189"/>
      <c r="UUR24" s="189"/>
      <c r="UUS24" s="189"/>
      <c r="UUT24" s="189"/>
      <c r="UUU24" s="189"/>
      <c r="UUV24" s="189"/>
      <c r="UUW24" s="189"/>
      <c r="UUX24" s="189"/>
      <c r="UUY24" s="189"/>
      <c r="UUZ24" s="189"/>
      <c r="UVA24" s="189"/>
      <c r="UVB24" s="189"/>
      <c r="UVC24" s="189"/>
      <c r="UVD24" s="189"/>
      <c r="UVE24" s="189"/>
      <c r="UVF24" s="189"/>
      <c r="UVG24" s="189"/>
      <c r="UVH24" s="189"/>
      <c r="UVI24" s="189"/>
      <c r="UVJ24" s="189"/>
      <c r="UVK24" s="189"/>
      <c r="UVL24" s="189"/>
      <c r="UVM24" s="189"/>
      <c r="UVN24" s="189"/>
      <c r="UVO24" s="189"/>
      <c r="UVP24" s="189"/>
      <c r="UVQ24" s="189"/>
      <c r="UVR24" s="189"/>
      <c r="UVS24" s="189"/>
      <c r="UVT24" s="189"/>
      <c r="UVU24" s="189"/>
      <c r="UVV24" s="189"/>
      <c r="UVW24" s="189"/>
      <c r="UVX24" s="189"/>
      <c r="UVY24" s="189"/>
      <c r="UVZ24" s="189"/>
      <c r="UWA24" s="189"/>
      <c r="UWB24" s="189"/>
      <c r="UWC24" s="189"/>
      <c r="UWD24" s="189"/>
      <c r="UWE24" s="189"/>
      <c r="UWF24" s="189"/>
      <c r="UWG24" s="189"/>
      <c r="UWH24" s="189"/>
      <c r="UWI24" s="189"/>
      <c r="UWJ24" s="189"/>
      <c r="UWK24" s="189"/>
      <c r="UWL24" s="189"/>
      <c r="UWM24" s="189"/>
      <c r="UWN24" s="189"/>
      <c r="UWO24" s="189"/>
      <c r="UWP24" s="189"/>
      <c r="UWQ24" s="189"/>
      <c r="UWR24" s="189"/>
      <c r="UWS24" s="189"/>
      <c r="UWT24" s="189"/>
      <c r="UWU24" s="189"/>
      <c r="UWV24" s="189"/>
      <c r="UWW24" s="189"/>
      <c r="UWX24" s="189"/>
      <c r="UWY24" s="189"/>
      <c r="UWZ24" s="189"/>
      <c r="UXA24" s="189"/>
      <c r="UXB24" s="189"/>
      <c r="UXC24" s="189"/>
      <c r="UXD24" s="189"/>
      <c r="UXE24" s="189"/>
      <c r="UXF24" s="189"/>
      <c r="UXG24" s="189"/>
      <c r="UXH24" s="189"/>
      <c r="UXI24" s="189"/>
      <c r="UXJ24" s="189"/>
      <c r="UXK24" s="189"/>
      <c r="UXL24" s="189"/>
      <c r="UXM24" s="189"/>
      <c r="UXN24" s="189"/>
      <c r="UXO24" s="189"/>
      <c r="UXP24" s="189"/>
      <c r="UXQ24" s="189"/>
      <c r="UXR24" s="189"/>
      <c r="UXS24" s="189"/>
      <c r="UXT24" s="189"/>
      <c r="UXU24" s="189"/>
      <c r="UXV24" s="189"/>
      <c r="UXW24" s="189"/>
      <c r="UXX24" s="189"/>
      <c r="UXY24" s="189"/>
      <c r="UXZ24" s="189"/>
      <c r="UYA24" s="189"/>
      <c r="UYB24" s="189"/>
      <c r="UYC24" s="189"/>
      <c r="UYD24" s="189"/>
      <c r="UYE24" s="189"/>
      <c r="UYF24" s="189"/>
      <c r="UYG24" s="189"/>
      <c r="UYH24" s="189"/>
      <c r="UYI24" s="189"/>
      <c r="UYJ24" s="189"/>
      <c r="UYK24" s="189"/>
      <c r="UYL24" s="189"/>
      <c r="UYM24" s="189"/>
      <c r="UYN24" s="189"/>
      <c r="UYO24" s="189"/>
      <c r="UYP24" s="189"/>
      <c r="UYQ24" s="189"/>
      <c r="UYR24" s="189"/>
      <c r="UYS24" s="189"/>
      <c r="UYT24" s="189"/>
      <c r="UYU24" s="189"/>
      <c r="UYV24" s="189"/>
      <c r="UYW24" s="189"/>
      <c r="UYX24" s="189"/>
      <c r="UYY24" s="189"/>
      <c r="UYZ24" s="189"/>
      <c r="UZA24" s="189"/>
      <c r="UZB24" s="189"/>
      <c r="UZC24" s="189"/>
      <c r="UZD24" s="189"/>
      <c r="UZE24" s="189"/>
      <c r="UZF24" s="189"/>
      <c r="UZG24" s="189"/>
      <c r="UZH24" s="189"/>
      <c r="UZI24" s="189"/>
      <c r="UZJ24" s="189"/>
      <c r="UZK24" s="189"/>
      <c r="UZL24" s="189"/>
      <c r="UZM24" s="189"/>
      <c r="UZN24" s="189"/>
      <c r="UZO24" s="189"/>
      <c r="UZP24" s="189"/>
      <c r="UZQ24" s="189"/>
      <c r="UZR24" s="189"/>
      <c r="UZS24" s="189"/>
      <c r="UZT24" s="189"/>
      <c r="UZU24" s="189"/>
      <c r="UZV24" s="189"/>
      <c r="UZW24" s="189"/>
      <c r="UZX24" s="189"/>
      <c r="UZY24" s="189"/>
      <c r="UZZ24" s="189"/>
      <c r="VAA24" s="189"/>
      <c r="VAB24" s="189"/>
      <c r="VAC24" s="189"/>
      <c r="VAD24" s="189"/>
      <c r="VAE24" s="189"/>
      <c r="VAF24" s="189"/>
      <c r="VAG24" s="189"/>
      <c r="VAH24" s="189"/>
      <c r="VAI24" s="189"/>
      <c r="VAJ24" s="189"/>
      <c r="VAK24" s="189"/>
      <c r="VAL24" s="189"/>
      <c r="VAM24" s="189"/>
      <c r="VAN24" s="189"/>
      <c r="VAO24" s="189"/>
      <c r="VAP24" s="189"/>
      <c r="VAQ24" s="189"/>
      <c r="VAR24" s="189"/>
      <c r="VAS24" s="189"/>
      <c r="VAT24" s="189"/>
      <c r="VAU24" s="189"/>
      <c r="VAV24" s="189"/>
      <c r="VAW24" s="189"/>
      <c r="VAX24" s="189"/>
      <c r="VAY24" s="189"/>
      <c r="VAZ24" s="189"/>
      <c r="VBA24" s="189"/>
      <c r="VBB24" s="189"/>
      <c r="VBC24" s="189"/>
      <c r="VBD24" s="189"/>
      <c r="VBE24" s="189"/>
      <c r="VBF24" s="189"/>
      <c r="VBG24" s="189"/>
      <c r="VBH24" s="189"/>
      <c r="VBI24" s="189"/>
      <c r="VBJ24" s="189"/>
      <c r="VBK24" s="189"/>
      <c r="VBL24" s="189"/>
      <c r="VBM24" s="189"/>
      <c r="VBN24" s="189"/>
      <c r="VBO24" s="189"/>
      <c r="VBP24" s="189"/>
      <c r="VBQ24" s="189"/>
      <c r="VBR24" s="189"/>
      <c r="VBS24" s="189"/>
      <c r="VBT24" s="189"/>
      <c r="VBU24" s="189"/>
      <c r="VBV24" s="189"/>
      <c r="VBW24" s="189"/>
      <c r="VBX24" s="189"/>
      <c r="VBY24" s="189"/>
      <c r="VBZ24" s="189"/>
      <c r="VCA24" s="189"/>
      <c r="VCB24" s="189"/>
      <c r="VCC24" s="189"/>
      <c r="VCD24" s="189"/>
      <c r="VCE24" s="189"/>
      <c r="VCF24" s="189"/>
      <c r="VCG24" s="189"/>
      <c r="VCH24" s="189"/>
      <c r="VCI24" s="189"/>
      <c r="VCJ24" s="189"/>
      <c r="VCK24" s="189"/>
      <c r="VCL24" s="189"/>
      <c r="VCM24" s="189"/>
      <c r="VCN24" s="189"/>
      <c r="VCO24" s="189"/>
      <c r="VCP24" s="189"/>
      <c r="VCQ24" s="189"/>
      <c r="VCR24" s="189"/>
      <c r="VCS24" s="189"/>
      <c r="VCT24" s="189"/>
      <c r="VCU24" s="189"/>
      <c r="VCV24" s="189"/>
      <c r="VCW24" s="189"/>
      <c r="VCX24" s="189"/>
      <c r="VCY24" s="189"/>
      <c r="VCZ24" s="189"/>
      <c r="VDA24" s="189"/>
      <c r="VDB24" s="189"/>
      <c r="VDC24" s="189"/>
      <c r="VDD24" s="189"/>
      <c r="VDE24" s="189"/>
      <c r="VDF24" s="189"/>
      <c r="VDG24" s="189"/>
      <c r="VDH24" s="189"/>
      <c r="VDI24" s="189"/>
      <c r="VDJ24" s="189"/>
      <c r="VDK24" s="189"/>
      <c r="VDL24" s="189"/>
      <c r="VDM24" s="189"/>
      <c r="VDN24" s="189"/>
      <c r="VDO24" s="189"/>
      <c r="VDP24" s="189"/>
      <c r="VDQ24" s="189"/>
      <c r="VDR24" s="189"/>
      <c r="VDS24" s="189"/>
      <c r="VDT24" s="189"/>
      <c r="VDU24" s="189"/>
      <c r="VDV24" s="189"/>
      <c r="VDW24" s="189"/>
      <c r="VDX24" s="189"/>
      <c r="VDY24" s="189"/>
      <c r="VDZ24" s="189"/>
      <c r="VEA24" s="189"/>
      <c r="VEB24" s="189"/>
      <c r="VEC24" s="189"/>
      <c r="VED24" s="189"/>
      <c r="VEE24" s="189"/>
      <c r="VEF24" s="189"/>
      <c r="VEG24" s="189"/>
      <c r="VEH24" s="189"/>
      <c r="VEI24" s="189"/>
      <c r="VEJ24" s="189"/>
      <c r="VEK24" s="189"/>
      <c r="VEL24" s="189"/>
      <c r="VEM24" s="189"/>
      <c r="VEN24" s="189"/>
      <c r="VEO24" s="189"/>
      <c r="VEP24" s="189"/>
      <c r="VEQ24" s="189"/>
      <c r="VER24" s="189"/>
      <c r="VES24" s="189"/>
      <c r="VET24" s="189"/>
      <c r="VEU24" s="189"/>
      <c r="VEV24" s="189"/>
      <c r="VEW24" s="189"/>
      <c r="VEX24" s="189"/>
      <c r="VEY24" s="189"/>
      <c r="VEZ24" s="189"/>
      <c r="VFA24" s="189"/>
      <c r="VFB24" s="189"/>
      <c r="VFC24" s="189"/>
      <c r="VFD24" s="189"/>
      <c r="VFE24" s="189"/>
      <c r="VFF24" s="189"/>
      <c r="VFG24" s="189"/>
      <c r="VFH24" s="189"/>
      <c r="VFI24" s="189"/>
      <c r="VFJ24" s="189"/>
      <c r="VFK24" s="189"/>
      <c r="VFL24" s="189"/>
      <c r="VFM24" s="189"/>
      <c r="VFN24" s="189"/>
      <c r="VFO24" s="189"/>
      <c r="VFP24" s="189"/>
      <c r="VFQ24" s="189"/>
      <c r="VFR24" s="189"/>
      <c r="VFS24" s="189"/>
      <c r="VFT24" s="189"/>
      <c r="VFU24" s="189"/>
      <c r="VFV24" s="189"/>
      <c r="VFW24" s="189"/>
      <c r="VFX24" s="189"/>
      <c r="VFY24" s="189"/>
      <c r="VFZ24" s="189"/>
      <c r="VGA24" s="189"/>
      <c r="VGB24" s="189"/>
      <c r="VGC24" s="189"/>
      <c r="VGD24" s="189"/>
      <c r="VGE24" s="189"/>
      <c r="VGF24" s="189"/>
      <c r="VGG24" s="189"/>
      <c r="VGH24" s="189"/>
      <c r="VGI24" s="189"/>
      <c r="VGJ24" s="189"/>
      <c r="VGK24" s="189"/>
      <c r="VGL24" s="189"/>
      <c r="VGM24" s="189"/>
      <c r="VGN24" s="189"/>
      <c r="VGO24" s="189"/>
      <c r="VGP24" s="189"/>
      <c r="VGQ24" s="189"/>
      <c r="VGR24" s="189"/>
      <c r="VGS24" s="189"/>
      <c r="VGT24" s="189"/>
      <c r="VGU24" s="189"/>
      <c r="VGV24" s="189"/>
      <c r="VGW24" s="189"/>
      <c r="VGX24" s="189"/>
      <c r="VGY24" s="189"/>
      <c r="VGZ24" s="189"/>
      <c r="VHA24" s="189"/>
      <c r="VHB24" s="189"/>
      <c r="VHC24" s="189"/>
      <c r="VHD24" s="189"/>
      <c r="VHE24" s="189"/>
      <c r="VHF24" s="189"/>
      <c r="VHG24" s="189"/>
      <c r="VHH24" s="189"/>
      <c r="VHI24" s="189"/>
      <c r="VHJ24" s="189"/>
      <c r="VHK24" s="189"/>
      <c r="VHL24" s="189"/>
      <c r="VHM24" s="189"/>
      <c r="VHN24" s="189"/>
      <c r="VHO24" s="189"/>
      <c r="VHP24" s="189"/>
      <c r="VHQ24" s="189"/>
      <c r="VHR24" s="189"/>
      <c r="VHS24" s="189"/>
      <c r="VHT24" s="189"/>
      <c r="VHU24" s="189"/>
      <c r="VHV24" s="189"/>
      <c r="VHW24" s="189"/>
      <c r="VHX24" s="189"/>
      <c r="VHY24" s="189"/>
      <c r="VHZ24" s="189"/>
      <c r="VIA24" s="189"/>
      <c r="VIB24" s="189"/>
      <c r="VIC24" s="189"/>
      <c r="VID24" s="189"/>
      <c r="VIE24" s="189"/>
      <c r="VIF24" s="189"/>
      <c r="VIG24" s="189"/>
      <c r="VIH24" s="189"/>
      <c r="VII24" s="189"/>
      <c r="VIJ24" s="189"/>
      <c r="VIK24" s="189"/>
      <c r="VIL24" s="189"/>
      <c r="VIM24" s="189"/>
      <c r="VIN24" s="189"/>
      <c r="VIO24" s="189"/>
      <c r="VIP24" s="189"/>
      <c r="VIQ24" s="189"/>
      <c r="VIR24" s="189"/>
      <c r="VIS24" s="189"/>
      <c r="VIT24" s="189"/>
      <c r="VIU24" s="189"/>
      <c r="VIV24" s="189"/>
      <c r="VIW24" s="189"/>
      <c r="VIX24" s="189"/>
      <c r="VIY24" s="189"/>
      <c r="VIZ24" s="189"/>
      <c r="VJA24" s="189"/>
      <c r="VJB24" s="189"/>
      <c r="VJC24" s="189"/>
      <c r="VJD24" s="189"/>
      <c r="VJE24" s="189"/>
      <c r="VJF24" s="189"/>
      <c r="VJG24" s="189"/>
      <c r="VJH24" s="189"/>
      <c r="VJI24" s="189"/>
      <c r="VJJ24" s="189"/>
      <c r="VJK24" s="189"/>
      <c r="VJL24" s="189"/>
      <c r="VJM24" s="189"/>
      <c r="VJN24" s="189"/>
      <c r="VJO24" s="189"/>
      <c r="VJP24" s="189"/>
      <c r="VJQ24" s="189"/>
      <c r="VJR24" s="189"/>
      <c r="VJS24" s="189"/>
      <c r="VJT24" s="189"/>
      <c r="VJU24" s="189"/>
      <c r="VJV24" s="189"/>
      <c r="VJW24" s="189"/>
      <c r="VJX24" s="189"/>
      <c r="VJY24" s="189"/>
      <c r="VJZ24" s="189"/>
      <c r="VKA24" s="189"/>
      <c r="VKB24" s="189"/>
      <c r="VKC24" s="189"/>
      <c r="VKD24" s="189"/>
      <c r="VKE24" s="189"/>
      <c r="VKF24" s="189"/>
      <c r="VKG24" s="189"/>
      <c r="VKH24" s="189"/>
      <c r="VKI24" s="189"/>
      <c r="VKJ24" s="189"/>
      <c r="VKK24" s="189"/>
      <c r="VKL24" s="189"/>
      <c r="VKM24" s="189"/>
      <c r="VKN24" s="189"/>
      <c r="VKO24" s="189"/>
      <c r="VKP24" s="189"/>
      <c r="VKQ24" s="189"/>
      <c r="VKR24" s="189"/>
      <c r="VKS24" s="189"/>
      <c r="VKT24" s="189"/>
      <c r="VKU24" s="189"/>
      <c r="VKV24" s="189"/>
      <c r="VKW24" s="189"/>
      <c r="VKX24" s="189"/>
      <c r="VKY24" s="189"/>
      <c r="VKZ24" s="189"/>
      <c r="VLA24" s="189"/>
      <c r="VLB24" s="189"/>
      <c r="VLC24" s="189"/>
      <c r="VLD24" s="189"/>
      <c r="VLE24" s="189"/>
      <c r="VLF24" s="189"/>
      <c r="VLG24" s="189"/>
      <c r="VLH24" s="189"/>
      <c r="VLI24" s="189"/>
      <c r="VLJ24" s="189"/>
      <c r="VLK24" s="189"/>
      <c r="VLL24" s="189"/>
      <c r="VLM24" s="189"/>
      <c r="VLN24" s="189"/>
      <c r="VLO24" s="189"/>
      <c r="VLP24" s="189"/>
      <c r="VLQ24" s="189"/>
      <c r="VLR24" s="189"/>
      <c r="VLS24" s="189"/>
      <c r="VLT24" s="189"/>
      <c r="VLU24" s="189"/>
      <c r="VLV24" s="189"/>
      <c r="VLW24" s="189"/>
      <c r="VLX24" s="189"/>
      <c r="VLY24" s="189"/>
      <c r="VLZ24" s="189"/>
      <c r="VMA24" s="189"/>
      <c r="VMB24" s="189"/>
      <c r="VMC24" s="189"/>
      <c r="VMD24" s="189"/>
      <c r="VME24" s="189"/>
      <c r="VMF24" s="189"/>
      <c r="VMG24" s="189"/>
      <c r="VMH24" s="189"/>
      <c r="VMI24" s="189"/>
      <c r="VMJ24" s="189"/>
      <c r="VMK24" s="189"/>
      <c r="VML24" s="189"/>
      <c r="VMM24" s="189"/>
      <c r="VMN24" s="189"/>
      <c r="VMO24" s="189"/>
      <c r="VMP24" s="189"/>
      <c r="VMQ24" s="189"/>
      <c r="VMR24" s="189"/>
      <c r="VMS24" s="189"/>
      <c r="VMT24" s="189"/>
      <c r="VMU24" s="189"/>
      <c r="VMV24" s="189"/>
      <c r="VMW24" s="189"/>
      <c r="VMX24" s="189"/>
      <c r="VMY24" s="189"/>
      <c r="VMZ24" s="189"/>
      <c r="VNA24" s="189"/>
      <c r="VNB24" s="189"/>
      <c r="VNC24" s="189"/>
      <c r="VND24" s="189"/>
      <c r="VNE24" s="189"/>
      <c r="VNF24" s="189"/>
      <c r="VNG24" s="189"/>
      <c r="VNH24" s="189"/>
      <c r="VNI24" s="189"/>
      <c r="VNJ24" s="189"/>
      <c r="VNK24" s="189"/>
      <c r="VNL24" s="189"/>
      <c r="VNM24" s="189"/>
      <c r="VNN24" s="189"/>
      <c r="VNO24" s="189"/>
      <c r="VNP24" s="189"/>
      <c r="VNQ24" s="189"/>
      <c r="VNR24" s="189"/>
      <c r="VNS24" s="189"/>
      <c r="VNT24" s="189"/>
      <c r="VNU24" s="189"/>
      <c r="VNV24" s="189"/>
      <c r="VNW24" s="189"/>
      <c r="VNX24" s="189"/>
      <c r="VNY24" s="189"/>
      <c r="VNZ24" s="189"/>
      <c r="VOA24" s="189"/>
      <c r="VOB24" s="189"/>
      <c r="VOC24" s="189"/>
      <c r="VOD24" s="189"/>
      <c r="VOE24" s="189"/>
      <c r="VOF24" s="189"/>
      <c r="VOG24" s="189"/>
      <c r="VOH24" s="189"/>
      <c r="VOI24" s="189"/>
      <c r="VOJ24" s="189"/>
      <c r="VOK24" s="189"/>
      <c r="VOL24" s="189"/>
      <c r="VOM24" s="189"/>
      <c r="VON24" s="189"/>
      <c r="VOO24" s="189"/>
      <c r="VOP24" s="189"/>
      <c r="VOQ24" s="189"/>
      <c r="VOR24" s="189"/>
      <c r="VOS24" s="189"/>
      <c r="VOT24" s="189"/>
      <c r="VOU24" s="189"/>
      <c r="VOV24" s="189"/>
      <c r="VOW24" s="189"/>
      <c r="VOX24" s="189"/>
      <c r="VOY24" s="189"/>
      <c r="VOZ24" s="189"/>
      <c r="VPA24" s="189"/>
      <c r="VPB24" s="189"/>
      <c r="VPC24" s="189"/>
      <c r="VPD24" s="189"/>
      <c r="VPE24" s="189"/>
      <c r="VPF24" s="189"/>
      <c r="VPG24" s="189"/>
      <c r="VPH24" s="189"/>
      <c r="VPI24" s="189"/>
      <c r="VPJ24" s="189"/>
      <c r="VPK24" s="189"/>
      <c r="VPL24" s="189"/>
      <c r="VPM24" s="189"/>
      <c r="VPN24" s="189"/>
      <c r="VPO24" s="189"/>
      <c r="VPP24" s="189"/>
      <c r="VPQ24" s="189"/>
      <c r="VPR24" s="189"/>
      <c r="VPS24" s="189"/>
      <c r="VPT24" s="189"/>
      <c r="VPU24" s="189"/>
      <c r="VPV24" s="189"/>
      <c r="VPW24" s="189"/>
      <c r="VPX24" s="189"/>
      <c r="VPY24" s="189"/>
      <c r="VPZ24" s="189"/>
      <c r="VQA24" s="189"/>
      <c r="VQB24" s="189"/>
      <c r="VQC24" s="189"/>
      <c r="VQD24" s="189"/>
      <c r="VQE24" s="189"/>
      <c r="VQF24" s="189"/>
      <c r="VQG24" s="189"/>
      <c r="VQH24" s="189"/>
      <c r="VQI24" s="189"/>
      <c r="VQJ24" s="189"/>
      <c r="VQK24" s="189"/>
      <c r="VQL24" s="189"/>
      <c r="VQM24" s="189"/>
      <c r="VQN24" s="189"/>
      <c r="VQO24" s="189"/>
      <c r="VQP24" s="189"/>
      <c r="VQQ24" s="189"/>
      <c r="VQR24" s="189"/>
      <c r="VQS24" s="189"/>
      <c r="VQT24" s="189"/>
      <c r="VQU24" s="189"/>
      <c r="VQV24" s="189"/>
      <c r="VQW24" s="189"/>
      <c r="VQX24" s="189"/>
      <c r="VQY24" s="189"/>
      <c r="VQZ24" s="189"/>
      <c r="VRA24" s="189"/>
      <c r="VRB24" s="189"/>
      <c r="VRC24" s="189"/>
      <c r="VRD24" s="189"/>
      <c r="VRE24" s="189"/>
      <c r="VRF24" s="189"/>
      <c r="VRG24" s="189"/>
      <c r="VRH24" s="189"/>
      <c r="VRI24" s="189"/>
      <c r="VRJ24" s="189"/>
      <c r="VRK24" s="189"/>
      <c r="VRL24" s="189"/>
      <c r="VRM24" s="189"/>
      <c r="VRN24" s="189"/>
      <c r="VRO24" s="189"/>
      <c r="VRP24" s="189"/>
      <c r="VRQ24" s="189"/>
      <c r="VRR24" s="189"/>
      <c r="VRS24" s="189"/>
      <c r="VRT24" s="189"/>
      <c r="VRU24" s="189"/>
      <c r="VRV24" s="189"/>
      <c r="VRW24" s="189"/>
      <c r="VRX24" s="189"/>
      <c r="VRY24" s="189"/>
      <c r="VRZ24" s="189"/>
      <c r="VSA24" s="189"/>
      <c r="VSB24" s="189"/>
      <c r="VSC24" s="189"/>
      <c r="VSD24" s="189"/>
      <c r="VSE24" s="189"/>
      <c r="VSF24" s="189"/>
      <c r="VSG24" s="189"/>
      <c r="VSH24" s="189"/>
      <c r="VSI24" s="189"/>
      <c r="VSJ24" s="189"/>
      <c r="VSK24" s="189"/>
      <c r="VSL24" s="189"/>
      <c r="VSM24" s="189"/>
      <c r="VSN24" s="189"/>
      <c r="VSO24" s="189"/>
      <c r="VSP24" s="189"/>
      <c r="VSQ24" s="189"/>
      <c r="VSR24" s="189"/>
      <c r="VSS24" s="189"/>
      <c r="VST24" s="189"/>
      <c r="VSU24" s="189"/>
      <c r="VSV24" s="189"/>
      <c r="VSW24" s="189"/>
      <c r="VSX24" s="189"/>
      <c r="VSY24" s="189"/>
      <c r="VSZ24" s="189"/>
      <c r="VTA24" s="189"/>
      <c r="VTB24" s="189"/>
      <c r="VTC24" s="189"/>
      <c r="VTD24" s="189"/>
      <c r="VTE24" s="189"/>
      <c r="VTF24" s="189"/>
      <c r="VTG24" s="189"/>
      <c r="VTH24" s="189"/>
      <c r="VTI24" s="189"/>
      <c r="VTJ24" s="189"/>
      <c r="VTK24" s="189"/>
      <c r="VTL24" s="189"/>
      <c r="VTM24" s="189"/>
      <c r="VTN24" s="189"/>
      <c r="VTO24" s="189"/>
      <c r="VTP24" s="189"/>
      <c r="VTQ24" s="189"/>
      <c r="VTR24" s="189"/>
      <c r="VTS24" s="189"/>
      <c r="VTT24" s="189"/>
      <c r="VTU24" s="189"/>
      <c r="VTV24" s="189"/>
      <c r="VTW24" s="189"/>
      <c r="VTX24" s="189"/>
      <c r="VTY24" s="189"/>
      <c r="VTZ24" s="189"/>
      <c r="VUA24" s="189"/>
      <c r="VUB24" s="189"/>
      <c r="VUC24" s="189"/>
      <c r="VUD24" s="189"/>
      <c r="VUE24" s="189"/>
      <c r="VUF24" s="189"/>
      <c r="VUG24" s="189"/>
      <c r="VUH24" s="189"/>
      <c r="VUI24" s="189"/>
      <c r="VUJ24" s="189"/>
      <c r="VUK24" s="189"/>
      <c r="VUL24" s="189"/>
      <c r="VUM24" s="189"/>
      <c r="VUN24" s="189"/>
      <c r="VUO24" s="189"/>
      <c r="VUP24" s="189"/>
      <c r="VUQ24" s="189"/>
      <c r="VUR24" s="189"/>
      <c r="VUS24" s="189"/>
      <c r="VUT24" s="189"/>
      <c r="VUU24" s="189"/>
      <c r="VUV24" s="189"/>
      <c r="VUW24" s="189"/>
      <c r="VUX24" s="189"/>
      <c r="VUY24" s="189"/>
      <c r="VUZ24" s="189"/>
      <c r="VVA24" s="189"/>
      <c r="VVB24" s="189"/>
      <c r="VVC24" s="189"/>
      <c r="VVD24" s="189"/>
      <c r="VVE24" s="189"/>
      <c r="VVF24" s="189"/>
      <c r="VVG24" s="189"/>
      <c r="VVH24" s="189"/>
      <c r="VVI24" s="189"/>
      <c r="VVJ24" s="189"/>
      <c r="VVK24" s="189"/>
      <c r="VVL24" s="189"/>
      <c r="VVM24" s="189"/>
      <c r="VVN24" s="189"/>
      <c r="VVO24" s="189"/>
      <c r="VVP24" s="189"/>
      <c r="VVQ24" s="189"/>
      <c r="VVR24" s="189"/>
      <c r="VVS24" s="189"/>
      <c r="VVT24" s="189"/>
      <c r="VVU24" s="189"/>
      <c r="VVV24" s="189"/>
      <c r="VVW24" s="189"/>
      <c r="VVX24" s="189"/>
      <c r="VVY24" s="189"/>
      <c r="VVZ24" s="189"/>
      <c r="VWA24" s="189"/>
      <c r="VWB24" s="189"/>
      <c r="VWC24" s="189"/>
      <c r="VWD24" s="189"/>
      <c r="VWE24" s="189"/>
      <c r="VWF24" s="189"/>
      <c r="VWG24" s="189"/>
      <c r="VWH24" s="189"/>
      <c r="VWI24" s="189"/>
      <c r="VWJ24" s="189"/>
      <c r="VWK24" s="189"/>
      <c r="VWL24" s="189"/>
      <c r="VWM24" s="189"/>
      <c r="VWN24" s="189"/>
      <c r="VWO24" s="189"/>
      <c r="VWP24" s="189"/>
      <c r="VWQ24" s="189"/>
      <c r="VWR24" s="189"/>
      <c r="VWS24" s="189"/>
      <c r="VWT24" s="189"/>
      <c r="VWU24" s="189"/>
      <c r="VWV24" s="189"/>
      <c r="VWW24" s="189"/>
      <c r="VWX24" s="189"/>
      <c r="VWY24" s="189"/>
      <c r="VWZ24" s="189"/>
      <c r="VXA24" s="189"/>
      <c r="VXB24" s="189"/>
      <c r="VXC24" s="189"/>
      <c r="VXD24" s="189"/>
      <c r="VXE24" s="189"/>
      <c r="VXF24" s="189"/>
      <c r="VXG24" s="189"/>
      <c r="VXH24" s="189"/>
      <c r="VXI24" s="189"/>
      <c r="VXJ24" s="189"/>
      <c r="VXK24" s="189"/>
      <c r="VXL24" s="189"/>
      <c r="VXM24" s="189"/>
      <c r="VXN24" s="189"/>
      <c r="VXO24" s="189"/>
      <c r="VXP24" s="189"/>
      <c r="VXQ24" s="189"/>
      <c r="VXR24" s="189"/>
      <c r="VXS24" s="189"/>
      <c r="VXT24" s="189"/>
      <c r="VXU24" s="189"/>
      <c r="VXV24" s="189"/>
      <c r="VXW24" s="189"/>
      <c r="VXX24" s="189"/>
      <c r="VXY24" s="189"/>
      <c r="VXZ24" s="189"/>
      <c r="VYA24" s="189"/>
      <c r="VYB24" s="189"/>
      <c r="VYC24" s="189"/>
      <c r="VYD24" s="189"/>
      <c r="VYE24" s="189"/>
      <c r="VYF24" s="189"/>
      <c r="VYG24" s="189"/>
      <c r="VYH24" s="189"/>
      <c r="VYI24" s="189"/>
      <c r="VYJ24" s="189"/>
      <c r="VYK24" s="189"/>
      <c r="VYL24" s="189"/>
      <c r="VYM24" s="189"/>
      <c r="VYN24" s="189"/>
      <c r="VYO24" s="189"/>
      <c r="VYP24" s="189"/>
      <c r="VYQ24" s="189"/>
      <c r="VYR24" s="189"/>
      <c r="VYS24" s="189"/>
      <c r="VYT24" s="189"/>
      <c r="VYU24" s="189"/>
      <c r="VYV24" s="189"/>
      <c r="VYW24" s="189"/>
      <c r="VYX24" s="189"/>
      <c r="VYY24" s="189"/>
      <c r="VYZ24" s="189"/>
      <c r="VZA24" s="189"/>
      <c r="VZB24" s="189"/>
      <c r="VZC24" s="189"/>
      <c r="VZD24" s="189"/>
      <c r="VZE24" s="189"/>
      <c r="VZF24" s="189"/>
      <c r="VZG24" s="189"/>
      <c r="VZH24" s="189"/>
      <c r="VZI24" s="189"/>
      <c r="VZJ24" s="189"/>
      <c r="VZK24" s="189"/>
      <c r="VZL24" s="189"/>
      <c r="VZM24" s="189"/>
      <c r="VZN24" s="189"/>
      <c r="VZO24" s="189"/>
      <c r="VZP24" s="189"/>
      <c r="VZQ24" s="189"/>
      <c r="VZR24" s="189"/>
      <c r="VZS24" s="189"/>
      <c r="VZT24" s="189"/>
      <c r="VZU24" s="189"/>
      <c r="VZV24" s="189"/>
      <c r="VZW24" s="189"/>
      <c r="VZX24" s="189"/>
      <c r="VZY24" s="189"/>
      <c r="VZZ24" s="189"/>
      <c r="WAA24" s="189"/>
      <c r="WAB24" s="189"/>
      <c r="WAC24" s="189"/>
      <c r="WAD24" s="189"/>
      <c r="WAE24" s="189"/>
      <c r="WAF24" s="189"/>
      <c r="WAG24" s="189"/>
      <c r="WAH24" s="189"/>
      <c r="WAI24" s="189"/>
      <c r="WAJ24" s="189"/>
      <c r="WAK24" s="189"/>
      <c r="WAL24" s="189"/>
      <c r="WAM24" s="189"/>
      <c r="WAN24" s="189"/>
      <c r="WAO24" s="189"/>
      <c r="WAP24" s="189"/>
      <c r="WAQ24" s="189"/>
      <c r="WAR24" s="189"/>
      <c r="WAS24" s="189"/>
      <c r="WAT24" s="189"/>
      <c r="WAU24" s="189"/>
      <c r="WAV24" s="189"/>
      <c r="WAW24" s="189"/>
      <c r="WAX24" s="189"/>
      <c r="WAY24" s="189"/>
      <c r="WAZ24" s="189"/>
      <c r="WBA24" s="189"/>
      <c r="WBB24" s="189"/>
      <c r="WBC24" s="189"/>
      <c r="WBD24" s="189"/>
      <c r="WBE24" s="189"/>
      <c r="WBF24" s="189"/>
      <c r="WBG24" s="189"/>
      <c r="WBH24" s="189"/>
      <c r="WBI24" s="189"/>
      <c r="WBJ24" s="189"/>
      <c r="WBK24" s="189"/>
      <c r="WBL24" s="189"/>
      <c r="WBM24" s="189"/>
      <c r="WBN24" s="189"/>
      <c r="WBO24" s="189"/>
      <c r="WBP24" s="189"/>
      <c r="WBQ24" s="189"/>
      <c r="WBR24" s="189"/>
      <c r="WBS24" s="189"/>
      <c r="WBT24" s="189"/>
      <c r="WBU24" s="189"/>
      <c r="WBV24" s="189"/>
      <c r="WBW24" s="189"/>
      <c r="WBX24" s="189"/>
      <c r="WBY24" s="189"/>
      <c r="WBZ24" s="189"/>
      <c r="WCA24" s="189"/>
      <c r="WCB24" s="189"/>
      <c r="WCC24" s="189"/>
      <c r="WCD24" s="189"/>
      <c r="WCE24" s="189"/>
      <c r="WCF24" s="189"/>
      <c r="WCG24" s="189"/>
      <c r="WCH24" s="189"/>
      <c r="WCI24" s="189"/>
      <c r="WCJ24" s="189"/>
      <c r="WCK24" s="189"/>
      <c r="WCL24" s="189"/>
      <c r="WCM24" s="189"/>
      <c r="WCN24" s="189"/>
      <c r="WCO24" s="189"/>
      <c r="WCP24" s="189"/>
      <c r="WCQ24" s="189"/>
      <c r="WCR24" s="189"/>
      <c r="WCS24" s="189"/>
      <c r="WCT24" s="189"/>
      <c r="WCU24" s="189"/>
      <c r="WCV24" s="189"/>
      <c r="WCW24" s="189"/>
      <c r="WCX24" s="189"/>
      <c r="WCY24" s="189"/>
      <c r="WCZ24" s="189"/>
      <c r="WDA24" s="189"/>
      <c r="WDB24" s="189"/>
      <c r="WDC24" s="189"/>
      <c r="WDD24" s="189"/>
      <c r="WDE24" s="189"/>
      <c r="WDF24" s="189"/>
      <c r="WDG24" s="189"/>
      <c r="WDH24" s="189"/>
      <c r="WDI24" s="189"/>
      <c r="WDJ24" s="189"/>
      <c r="WDK24" s="189"/>
      <c r="WDL24" s="189"/>
      <c r="WDM24" s="189"/>
      <c r="WDN24" s="189"/>
      <c r="WDO24" s="189"/>
      <c r="WDP24" s="189"/>
      <c r="WDQ24" s="189"/>
      <c r="WDR24" s="189"/>
      <c r="WDS24" s="189"/>
      <c r="WDT24" s="189"/>
      <c r="WDU24" s="189"/>
      <c r="WDV24" s="189"/>
      <c r="WDW24" s="189"/>
      <c r="WDX24" s="189"/>
      <c r="WDY24" s="189"/>
      <c r="WDZ24" s="189"/>
      <c r="WEA24" s="189"/>
      <c r="WEB24" s="189"/>
      <c r="WEC24" s="189"/>
      <c r="WED24" s="189"/>
      <c r="WEE24" s="189"/>
      <c r="WEF24" s="189"/>
      <c r="WEG24" s="189"/>
      <c r="WEH24" s="189"/>
      <c r="WEI24" s="189"/>
      <c r="WEJ24" s="189"/>
      <c r="WEK24" s="189"/>
      <c r="WEL24" s="189"/>
      <c r="WEM24" s="189"/>
      <c r="WEN24" s="189"/>
      <c r="WEO24" s="189"/>
      <c r="WEP24" s="189"/>
      <c r="WEQ24" s="189"/>
      <c r="WER24" s="189"/>
      <c r="WES24" s="189"/>
      <c r="WET24" s="189"/>
      <c r="WEU24" s="189"/>
      <c r="WEV24" s="189"/>
      <c r="WEW24" s="189"/>
      <c r="WEX24" s="189"/>
      <c r="WEY24" s="189"/>
      <c r="WEZ24" s="189"/>
      <c r="WFA24" s="189"/>
      <c r="WFB24" s="189"/>
      <c r="WFC24" s="189"/>
      <c r="WFD24" s="189"/>
      <c r="WFE24" s="189"/>
      <c r="WFF24" s="189"/>
      <c r="WFG24" s="189"/>
      <c r="WFH24" s="189"/>
      <c r="WFI24" s="189"/>
      <c r="WFJ24" s="189"/>
      <c r="WFK24" s="189"/>
      <c r="WFL24" s="189"/>
      <c r="WFM24" s="189"/>
      <c r="WFN24" s="189"/>
      <c r="WFO24" s="189"/>
      <c r="WFP24" s="189"/>
      <c r="WFQ24" s="189"/>
      <c r="WFR24" s="189"/>
      <c r="WFS24" s="189"/>
      <c r="WFT24" s="189"/>
      <c r="WFU24" s="189"/>
      <c r="WFV24" s="189"/>
      <c r="WFW24" s="189"/>
      <c r="WFX24" s="189"/>
      <c r="WFY24" s="189"/>
      <c r="WFZ24" s="189"/>
      <c r="WGA24" s="189"/>
      <c r="WGB24" s="189"/>
      <c r="WGC24" s="189"/>
      <c r="WGD24" s="189"/>
      <c r="WGE24" s="189"/>
      <c r="WGF24" s="189"/>
      <c r="WGG24" s="189"/>
      <c r="WGH24" s="189"/>
      <c r="WGI24" s="189"/>
      <c r="WGJ24" s="189"/>
      <c r="WGK24" s="189"/>
      <c r="WGL24" s="189"/>
      <c r="WGM24" s="189"/>
      <c r="WGN24" s="189"/>
      <c r="WGO24" s="189"/>
      <c r="WGP24" s="189"/>
      <c r="WGQ24" s="189"/>
      <c r="WGR24" s="189"/>
      <c r="WGS24" s="189"/>
      <c r="WGT24" s="189"/>
      <c r="WGU24" s="189"/>
      <c r="WGV24" s="189"/>
      <c r="WGW24" s="189"/>
      <c r="WGX24" s="189"/>
      <c r="WGY24" s="189"/>
      <c r="WGZ24" s="189"/>
      <c r="WHA24" s="189"/>
      <c r="WHB24" s="189"/>
      <c r="WHC24" s="189"/>
      <c r="WHD24" s="189"/>
      <c r="WHE24" s="189"/>
      <c r="WHF24" s="189"/>
      <c r="WHG24" s="189"/>
      <c r="WHH24" s="189"/>
      <c r="WHI24" s="189"/>
      <c r="WHJ24" s="189"/>
      <c r="WHK24" s="189"/>
      <c r="WHL24" s="189"/>
      <c r="WHM24" s="189"/>
      <c r="WHN24" s="189"/>
      <c r="WHO24" s="189"/>
      <c r="WHP24" s="189"/>
      <c r="WHQ24" s="189"/>
      <c r="WHR24" s="189"/>
      <c r="WHS24" s="189"/>
      <c r="WHT24" s="189"/>
      <c r="WHU24" s="189"/>
      <c r="WHV24" s="189"/>
      <c r="WHW24" s="189"/>
      <c r="WHX24" s="189"/>
      <c r="WHY24" s="189"/>
      <c r="WHZ24" s="189"/>
      <c r="WIA24" s="189"/>
      <c r="WIB24" s="189"/>
      <c r="WIC24" s="189"/>
      <c r="WID24" s="189"/>
      <c r="WIE24" s="189"/>
      <c r="WIF24" s="189"/>
      <c r="WIG24" s="189"/>
      <c r="WIH24" s="189"/>
      <c r="WII24" s="189"/>
      <c r="WIJ24" s="189"/>
      <c r="WIK24" s="189"/>
      <c r="WIL24" s="189"/>
      <c r="WIM24" s="189"/>
      <c r="WIN24" s="189"/>
      <c r="WIO24" s="189"/>
      <c r="WIP24" s="189"/>
      <c r="WIQ24" s="189"/>
      <c r="WIR24" s="189"/>
      <c r="WIS24" s="189"/>
      <c r="WIT24" s="189"/>
      <c r="WIU24" s="189"/>
      <c r="WIV24" s="189"/>
      <c r="WIW24" s="189"/>
      <c r="WIX24" s="189"/>
      <c r="WIY24" s="189"/>
      <c r="WIZ24" s="189"/>
      <c r="WJA24" s="189"/>
      <c r="WJB24" s="189"/>
      <c r="WJC24" s="189"/>
      <c r="WJD24" s="189"/>
      <c r="WJE24" s="189"/>
      <c r="WJF24" s="189"/>
      <c r="WJG24" s="189"/>
      <c r="WJH24" s="189"/>
      <c r="WJI24" s="189"/>
      <c r="WJJ24" s="189"/>
      <c r="WJK24" s="189"/>
      <c r="WJL24" s="189"/>
      <c r="WJM24" s="189"/>
      <c r="WJN24" s="189"/>
      <c r="WJO24" s="189"/>
      <c r="WJP24" s="189"/>
      <c r="WJQ24" s="189"/>
      <c r="WJR24" s="189"/>
      <c r="WJS24" s="189"/>
      <c r="WJT24" s="189"/>
      <c r="WJU24" s="189"/>
      <c r="WJV24" s="189"/>
      <c r="WJW24" s="189"/>
      <c r="WJX24" s="189"/>
      <c r="WJY24" s="189"/>
      <c r="WJZ24" s="189"/>
      <c r="WKA24" s="189"/>
      <c r="WKB24" s="189"/>
      <c r="WKC24" s="189"/>
      <c r="WKD24" s="189"/>
      <c r="WKE24" s="189"/>
      <c r="WKF24" s="189"/>
      <c r="WKG24" s="189"/>
      <c r="WKH24" s="189"/>
      <c r="WKI24" s="189"/>
      <c r="WKJ24" s="189"/>
      <c r="WKK24" s="189"/>
      <c r="WKL24" s="189"/>
      <c r="WKM24" s="189"/>
      <c r="WKN24" s="189"/>
      <c r="WKO24" s="189"/>
      <c r="WKP24" s="189"/>
      <c r="WKQ24" s="189"/>
      <c r="WKR24" s="189"/>
      <c r="WKS24" s="189"/>
      <c r="WKT24" s="189"/>
      <c r="WKU24" s="189"/>
      <c r="WKV24" s="189"/>
      <c r="WKW24" s="189"/>
      <c r="WKX24" s="189"/>
      <c r="WKY24" s="189"/>
      <c r="WKZ24" s="189"/>
      <c r="WLA24" s="189"/>
      <c r="WLB24" s="189"/>
      <c r="WLC24" s="189"/>
      <c r="WLD24" s="189"/>
      <c r="WLE24" s="189"/>
      <c r="WLF24" s="189"/>
      <c r="WLG24" s="189"/>
      <c r="WLH24" s="189"/>
      <c r="WLI24" s="189"/>
      <c r="WLJ24" s="189"/>
      <c r="WLK24" s="189"/>
      <c r="WLL24" s="189"/>
      <c r="WLM24" s="189"/>
      <c r="WLN24" s="189"/>
      <c r="WLO24" s="189"/>
      <c r="WLP24" s="189"/>
      <c r="WLQ24" s="189"/>
      <c r="WLR24" s="189"/>
      <c r="WLS24" s="189"/>
      <c r="WLT24" s="189"/>
      <c r="WLU24" s="189"/>
      <c r="WLV24" s="189"/>
      <c r="WLW24" s="189"/>
      <c r="WLX24" s="189"/>
      <c r="WLY24" s="189"/>
      <c r="WLZ24" s="189"/>
      <c r="WMA24" s="189"/>
      <c r="WMB24" s="189"/>
      <c r="WMC24" s="189"/>
      <c r="WMD24" s="189"/>
      <c r="WME24" s="189"/>
      <c r="WMF24" s="189"/>
      <c r="WMG24" s="189"/>
      <c r="WMH24" s="189"/>
      <c r="WMI24" s="189"/>
      <c r="WMJ24" s="189"/>
      <c r="WMK24" s="189"/>
      <c r="WML24" s="189"/>
      <c r="WMM24" s="189"/>
      <c r="WMN24" s="189"/>
      <c r="WMO24" s="189"/>
      <c r="WMP24" s="189"/>
      <c r="WMQ24" s="189"/>
      <c r="WMR24" s="189"/>
      <c r="WMS24" s="189"/>
      <c r="WMT24" s="189"/>
      <c r="WMU24" s="189"/>
      <c r="WMV24" s="189"/>
      <c r="WMW24" s="189"/>
      <c r="WMX24" s="189"/>
      <c r="WMY24" s="189"/>
      <c r="WMZ24" s="189"/>
      <c r="WNA24" s="189"/>
      <c r="WNB24" s="189"/>
      <c r="WNC24" s="189"/>
      <c r="WND24" s="189"/>
      <c r="WNE24" s="189"/>
      <c r="WNF24" s="189"/>
      <c r="WNG24" s="189"/>
      <c r="WNH24" s="189"/>
      <c r="WNI24" s="189"/>
      <c r="WNJ24" s="189"/>
      <c r="WNK24" s="189"/>
      <c r="WNL24" s="189"/>
      <c r="WNM24" s="189"/>
      <c r="WNN24" s="189"/>
      <c r="WNO24" s="189"/>
      <c r="WNP24" s="189"/>
      <c r="WNQ24" s="189"/>
      <c r="WNR24" s="189"/>
      <c r="WNS24" s="189"/>
      <c r="WNT24" s="189"/>
      <c r="WNU24" s="189"/>
      <c r="WNV24" s="189"/>
      <c r="WNW24" s="189"/>
      <c r="WNX24" s="189"/>
      <c r="WNY24" s="189"/>
      <c r="WNZ24" s="189"/>
      <c r="WOA24" s="189"/>
      <c r="WOB24" s="189"/>
      <c r="WOC24" s="189"/>
      <c r="WOD24" s="189"/>
      <c r="WOE24" s="189"/>
      <c r="WOF24" s="189"/>
      <c r="WOG24" s="189"/>
      <c r="WOH24" s="189"/>
      <c r="WOI24" s="189"/>
      <c r="WOJ24" s="189"/>
      <c r="WOK24" s="189"/>
      <c r="WOL24" s="189"/>
      <c r="WOM24" s="189"/>
      <c r="WON24" s="189"/>
      <c r="WOO24" s="189"/>
      <c r="WOP24" s="189"/>
      <c r="WOQ24" s="189"/>
      <c r="WOR24" s="189"/>
      <c r="WOS24" s="189"/>
      <c r="WOT24" s="189"/>
      <c r="WOU24" s="189"/>
      <c r="WOV24" s="189"/>
      <c r="WOW24" s="189"/>
      <c r="WOX24" s="189"/>
      <c r="WOY24" s="189"/>
      <c r="WOZ24" s="189"/>
      <c r="WPA24" s="189"/>
      <c r="WPB24" s="189"/>
      <c r="WPC24" s="189"/>
      <c r="WPD24" s="189"/>
      <c r="WPE24" s="189"/>
      <c r="WPF24" s="189"/>
      <c r="WPG24" s="189"/>
      <c r="WPH24" s="189"/>
      <c r="WPI24" s="189"/>
      <c r="WPJ24" s="189"/>
      <c r="WPK24" s="189"/>
      <c r="WPL24" s="189"/>
      <c r="WPM24" s="189"/>
      <c r="WPN24" s="189"/>
      <c r="WPO24" s="189"/>
      <c r="WPP24" s="189"/>
      <c r="WPQ24" s="189"/>
      <c r="WPR24" s="189"/>
      <c r="WPS24" s="189"/>
      <c r="WPT24" s="189"/>
      <c r="WPU24" s="189"/>
      <c r="WPV24" s="189"/>
      <c r="WPW24" s="189"/>
      <c r="WPX24" s="189"/>
      <c r="WPY24" s="189"/>
      <c r="WPZ24" s="189"/>
      <c r="WQA24" s="189"/>
      <c r="WQB24" s="189"/>
      <c r="WQC24" s="189"/>
      <c r="WQD24" s="189"/>
      <c r="WQE24" s="189"/>
      <c r="WQF24" s="189"/>
      <c r="WQG24" s="189"/>
      <c r="WQH24" s="189"/>
      <c r="WQI24" s="189"/>
      <c r="WQJ24" s="189"/>
      <c r="WQK24" s="189"/>
      <c r="WQL24" s="189"/>
      <c r="WQM24" s="189"/>
      <c r="WQN24" s="189"/>
      <c r="WQO24" s="189"/>
      <c r="WQP24" s="189"/>
      <c r="WQQ24" s="189"/>
      <c r="WQR24" s="189"/>
      <c r="WQS24" s="189"/>
      <c r="WQT24" s="189"/>
      <c r="WQU24" s="189"/>
      <c r="WQV24" s="189"/>
      <c r="WQW24" s="189"/>
      <c r="WQX24" s="189"/>
      <c r="WQY24" s="189"/>
      <c r="WQZ24" s="189"/>
      <c r="WRA24" s="189"/>
      <c r="WRB24" s="189"/>
      <c r="WRC24" s="189"/>
      <c r="WRD24" s="189"/>
      <c r="WRE24" s="189"/>
      <c r="WRF24" s="189"/>
      <c r="WRG24" s="189"/>
      <c r="WRH24" s="189"/>
      <c r="WRI24" s="189"/>
      <c r="WRJ24" s="189"/>
      <c r="WRK24" s="189"/>
      <c r="WRL24" s="189"/>
      <c r="WRM24" s="189"/>
      <c r="WRN24" s="189"/>
      <c r="WRO24" s="189"/>
      <c r="WRP24" s="189"/>
      <c r="WRQ24" s="189"/>
      <c r="WRR24" s="189"/>
      <c r="WRS24" s="189"/>
      <c r="WRT24" s="189"/>
      <c r="WRU24" s="189"/>
      <c r="WRV24" s="189"/>
      <c r="WRW24" s="189"/>
      <c r="WRX24" s="189"/>
      <c r="WRY24" s="189"/>
      <c r="WRZ24" s="189"/>
      <c r="WSA24" s="189"/>
      <c r="WSB24" s="189"/>
      <c r="WSC24" s="189"/>
      <c r="WSD24" s="189"/>
      <c r="WSE24" s="189"/>
      <c r="WSF24" s="189"/>
      <c r="WSG24" s="189"/>
      <c r="WSH24" s="189"/>
      <c r="WSI24" s="189"/>
      <c r="WSJ24" s="189"/>
      <c r="WSK24" s="189"/>
      <c r="WSL24" s="189"/>
      <c r="WSM24" s="189"/>
      <c r="WSN24" s="189"/>
      <c r="WSO24" s="189"/>
      <c r="WSP24" s="189"/>
      <c r="WSQ24" s="189"/>
      <c r="WSR24" s="189"/>
      <c r="WSS24" s="189"/>
      <c r="WST24" s="189"/>
      <c r="WSU24" s="189"/>
      <c r="WSV24" s="189"/>
      <c r="WSW24" s="189"/>
      <c r="WSX24" s="189"/>
      <c r="WSY24" s="189"/>
      <c r="WSZ24" s="189"/>
      <c r="WTA24" s="189"/>
      <c r="WTB24" s="189"/>
      <c r="WTC24" s="189"/>
      <c r="WTD24" s="189"/>
      <c r="WTE24" s="189"/>
      <c r="WTF24" s="189"/>
      <c r="WTG24" s="189"/>
      <c r="WTH24" s="189"/>
      <c r="WTI24" s="189"/>
      <c r="WTJ24" s="189"/>
      <c r="WTK24" s="189"/>
      <c r="WTL24" s="189"/>
      <c r="WTM24" s="189"/>
      <c r="WTN24" s="189"/>
      <c r="WTO24" s="189"/>
      <c r="WTP24" s="189"/>
      <c r="WTQ24" s="189"/>
      <c r="WTR24" s="189"/>
      <c r="WTS24" s="189"/>
      <c r="WTT24" s="189"/>
      <c r="WTU24" s="189"/>
      <c r="WTV24" s="189"/>
      <c r="WTW24" s="189"/>
      <c r="WTX24" s="189"/>
      <c r="WTY24" s="189"/>
      <c r="WTZ24" s="189"/>
      <c r="WUA24" s="189"/>
      <c r="WUB24" s="189"/>
      <c r="WUC24" s="189"/>
      <c r="WUD24" s="189"/>
      <c r="WUE24" s="189"/>
      <c r="WUF24" s="189"/>
      <c r="WUG24" s="189"/>
      <c r="WUH24" s="189"/>
      <c r="WUI24" s="189"/>
      <c r="WUJ24" s="189"/>
      <c r="WUK24" s="189"/>
      <c r="WUL24" s="189"/>
      <c r="WUM24" s="189"/>
      <c r="WUN24" s="189"/>
      <c r="WUO24" s="189"/>
      <c r="WUP24" s="189"/>
      <c r="WUQ24" s="189"/>
      <c r="WUR24" s="189"/>
      <c r="WUS24" s="189"/>
      <c r="WUT24" s="189"/>
      <c r="WUU24" s="189"/>
      <c r="WUV24" s="189"/>
      <c r="WUW24" s="189"/>
      <c r="WUX24" s="189"/>
      <c r="WUY24" s="189"/>
      <c r="WUZ24" s="189"/>
      <c r="WVA24" s="189"/>
      <c r="WVB24" s="189"/>
      <c r="WVC24" s="189"/>
      <c r="WVD24" s="189"/>
      <c r="WVE24" s="189"/>
      <c r="WVF24" s="189"/>
      <c r="WVG24" s="189"/>
      <c r="WVH24" s="189"/>
      <c r="WVI24" s="189"/>
      <c r="WVJ24" s="189"/>
      <c r="WVK24" s="189"/>
      <c r="WVL24" s="189"/>
      <c r="WVM24" s="189"/>
      <c r="WVN24" s="189"/>
      <c r="WVO24" s="189"/>
      <c r="WVP24" s="189"/>
      <c r="WVQ24" s="189"/>
      <c r="WVR24" s="189"/>
      <c r="WVS24" s="189"/>
      <c r="WVT24" s="189"/>
      <c r="WVU24" s="189"/>
      <c r="WVV24" s="189"/>
      <c r="WVW24" s="189"/>
      <c r="WVX24" s="189"/>
      <c r="WVY24" s="189"/>
      <c r="WVZ24" s="189"/>
      <c r="WWA24" s="189"/>
      <c r="WWB24" s="189"/>
      <c r="WWC24" s="189"/>
      <c r="WWD24" s="189"/>
      <c r="WWE24" s="189"/>
      <c r="WWF24" s="189"/>
      <c r="WWG24" s="189"/>
      <c r="WWH24" s="189"/>
      <c r="WWI24" s="189"/>
      <c r="WWJ24" s="189"/>
      <c r="WWK24" s="189"/>
      <c r="WWL24" s="189"/>
      <c r="WWM24" s="189"/>
      <c r="WWN24" s="189"/>
      <c r="WWO24" s="189"/>
      <c r="WWP24" s="189"/>
      <c r="WWQ24" s="189"/>
      <c r="WWR24" s="189"/>
      <c r="WWS24" s="189"/>
      <c r="WWT24" s="189"/>
      <c r="WWU24" s="189"/>
      <c r="WWV24" s="189"/>
      <c r="WWW24" s="189"/>
      <c r="WWX24" s="189"/>
      <c r="WWY24" s="189"/>
      <c r="WWZ24" s="189"/>
      <c r="WXA24" s="189"/>
      <c r="WXB24" s="189"/>
      <c r="WXC24" s="189"/>
      <c r="WXD24" s="189"/>
      <c r="WXE24" s="189"/>
      <c r="WXF24" s="189"/>
      <c r="WXG24" s="189"/>
      <c r="WXH24" s="189"/>
      <c r="WXI24" s="189"/>
      <c r="WXJ24" s="189"/>
      <c r="WXK24" s="189"/>
      <c r="WXL24" s="189"/>
      <c r="WXM24" s="189"/>
      <c r="WXN24" s="189"/>
      <c r="WXO24" s="189"/>
      <c r="WXP24" s="189"/>
      <c r="WXQ24" s="189"/>
      <c r="WXR24" s="189"/>
      <c r="WXS24" s="189"/>
      <c r="WXT24" s="189"/>
      <c r="WXU24" s="189"/>
      <c r="WXV24" s="189"/>
      <c r="WXW24" s="189"/>
      <c r="WXX24" s="189"/>
      <c r="WXY24" s="189"/>
      <c r="WXZ24" s="189"/>
      <c r="WYA24" s="189"/>
      <c r="WYB24" s="189"/>
      <c r="WYC24" s="189"/>
      <c r="WYD24" s="189"/>
      <c r="WYE24" s="189"/>
      <c r="WYF24" s="189"/>
      <c r="WYG24" s="189"/>
      <c r="WYH24" s="189"/>
      <c r="WYI24" s="189"/>
      <c r="WYJ24" s="189"/>
      <c r="WYK24" s="189"/>
      <c r="WYL24" s="189"/>
      <c r="WYM24" s="189"/>
      <c r="WYN24" s="189"/>
      <c r="WYO24" s="189"/>
      <c r="WYP24" s="189"/>
      <c r="WYQ24" s="189"/>
      <c r="WYR24" s="189"/>
      <c r="WYS24" s="189"/>
      <c r="WYT24" s="189"/>
      <c r="WYU24" s="189"/>
      <c r="WYV24" s="189"/>
      <c r="WYW24" s="189"/>
      <c r="WYX24" s="189"/>
      <c r="WYY24" s="189"/>
      <c r="WYZ24" s="189"/>
      <c r="WZA24" s="189"/>
      <c r="WZB24" s="189"/>
      <c r="WZC24" s="189"/>
      <c r="WZD24" s="189"/>
      <c r="WZE24" s="189"/>
      <c r="WZF24" s="189"/>
      <c r="WZG24" s="189"/>
      <c r="WZH24" s="189"/>
      <c r="WZI24" s="189"/>
      <c r="WZJ24" s="189"/>
      <c r="WZK24" s="189"/>
      <c r="WZL24" s="189"/>
      <c r="WZM24" s="189"/>
      <c r="WZN24" s="189"/>
      <c r="WZO24" s="189"/>
      <c r="WZP24" s="189"/>
      <c r="WZQ24" s="189"/>
      <c r="WZR24" s="189"/>
      <c r="WZS24" s="189"/>
      <c r="WZT24" s="189"/>
      <c r="WZU24" s="189"/>
      <c r="WZV24" s="189"/>
      <c r="WZW24" s="189"/>
      <c r="WZX24" s="189"/>
      <c r="WZY24" s="189"/>
      <c r="WZZ24" s="189"/>
      <c r="XAA24" s="189"/>
      <c r="XAB24" s="189"/>
      <c r="XAC24" s="189"/>
      <c r="XAD24" s="189"/>
      <c r="XAE24" s="189"/>
      <c r="XAF24" s="189"/>
      <c r="XAG24" s="189"/>
      <c r="XAH24" s="189"/>
      <c r="XAI24" s="189"/>
      <c r="XAJ24" s="189"/>
      <c r="XAK24" s="189"/>
      <c r="XAL24" s="189"/>
      <c r="XAM24" s="189"/>
      <c r="XAN24" s="189"/>
      <c r="XAO24" s="189"/>
      <c r="XAP24" s="189"/>
      <c r="XAQ24" s="189"/>
      <c r="XAR24" s="189"/>
      <c r="XAS24" s="189"/>
      <c r="XAT24" s="189"/>
      <c r="XAU24" s="189"/>
      <c r="XAV24" s="189"/>
      <c r="XAW24" s="189"/>
      <c r="XAX24" s="189"/>
      <c r="XAY24" s="189"/>
      <c r="XAZ24" s="189"/>
      <c r="XBA24" s="189"/>
      <c r="XBB24" s="189"/>
      <c r="XBC24" s="189"/>
      <c r="XBD24" s="189"/>
      <c r="XBE24" s="189"/>
      <c r="XBF24" s="189"/>
      <c r="XBG24" s="189"/>
      <c r="XBH24" s="189"/>
      <c r="XBI24" s="189"/>
      <c r="XBJ24" s="189"/>
      <c r="XBK24" s="189"/>
      <c r="XBL24" s="189"/>
      <c r="XBM24" s="189"/>
      <c r="XBN24" s="189"/>
      <c r="XBO24" s="189"/>
      <c r="XBP24" s="189"/>
      <c r="XBQ24" s="189"/>
      <c r="XBR24" s="189"/>
      <c r="XBS24" s="189"/>
      <c r="XBT24" s="189"/>
      <c r="XBU24" s="189"/>
      <c r="XBV24" s="189"/>
      <c r="XBW24" s="189"/>
      <c r="XBX24" s="189"/>
      <c r="XBY24" s="189"/>
      <c r="XBZ24" s="189"/>
      <c r="XCA24" s="189"/>
      <c r="XCB24" s="189"/>
      <c r="XCC24" s="189"/>
      <c r="XCD24" s="189"/>
      <c r="XCE24" s="189"/>
      <c r="XCF24" s="189"/>
      <c r="XCG24" s="189"/>
      <c r="XCH24" s="189"/>
      <c r="XCI24" s="189"/>
      <c r="XCJ24" s="189"/>
      <c r="XCK24" s="189"/>
      <c r="XCL24" s="189"/>
      <c r="XCM24" s="189"/>
      <c r="XCN24" s="189"/>
      <c r="XCO24" s="189"/>
      <c r="XCP24" s="189"/>
      <c r="XCQ24" s="189"/>
      <c r="XCR24" s="189"/>
      <c r="XCS24" s="189"/>
      <c r="XCT24" s="189"/>
      <c r="XCU24" s="189"/>
      <c r="XCV24" s="189"/>
      <c r="XCW24" s="189"/>
      <c r="XCX24" s="189"/>
      <c r="XCY24" s="189"/>
      <c r="XCZ24" s="189"/>
      <c r="XDA24" s="189"/>
      <c r="XDB24" s="189"/>
      <c r="XDC24" s="189"/>
      <c r="XDD24" s="189"/>
      <c r="XDE24" s="189"/>
      <c r="XDF24" s="189"/>
      <c r="XDG24" s="189"/>
      <c r="XDH24" s="189"/>
      <c r="XDI24" s="189"/>
      <c r="XDJ24" s="189"/>
      <c r="XDK24" s="189"/>
      <c r="XDL24" s="189"/>
      <c r="XDM24" s="189"/>
      <c r="XDN24" s="189"/>
      <c r="XDO24" s="189"/>
      <c r="XDP24" s="189"/>
      <c r="XDQ24" s="189"/>
      <c r="XDR24" s="189"/>
      <c r="XDS24" s="189"/>
      <c r="XDT24" s="189"/>
      <c r="XDU24" s="189"/>
      <c r="XDV24" s="189"/>
      <c r="XDW24" s="189"/>
      <c r="XDX24" s="189"/>
      <c r="XDY24" s="189"/>
      <c r="XDZ24" s="189"/>
      <c r="XEA24" s="189"/>
      <c r="XEB24" s="189"/>
      <c r="XEC24" s="189"/>
      <c r="XED24" s="189"/>
      <c r="XEE24" s="189"/>
      <c r="XEF24" s="189"/>
      <c r="XEG24" s="189"/>
      <c r="XEH24" s="189"/>
      <c r="XEI24" s="189"/>
      <c r="XEJ24" s="189"/>
      <c r="XEK24" s="189"/>
      <c r="XEL24" s="189"/>
      <c r="XEM24" s="189"/>
      <c r="XEN24" s="189"/>
      <c r="XEO24" s="189"/>
      <c r="XEP24" s="189"/>
      <c r="XEQ24" s="189"/>
      <c r="XER24" s="189"/>
      <c r="XES24" s="189"/>
      <c r="XET24" s="189"/>
      <c r="XEU24" s="189"/>
      <c r="XEV24" s="189"/>
      <c r="XEW24" s="189"/>
      <c r="XEX24" s="189"/>
      <c r="XEY24" s="189"/>
      <c r="XEZ24" s="189"/>
      <c r="XFA24" s="189"/>
      <c r="XFB24" s="189"/>
      <c r="XFC24" s="189"/>
      <c r="XFD24" s="189"/>
    </row>
    <row r="25" spans="1:16384" s="5" customFormat="1" ht="34.799999999999997" customHeight="1" x14ac:dyDescent="0.3">
      <c r="A25" s="17" t="s">
        <v>219</v>
      </c>
      <c r="B25" s="17" t="s">
        <v>225</v>
      </c>
      <c r="C25" s="17" t="s">
        <v>220</v>
      </c>
      <c r="D25" s="17" t="s">
        <v>221</v>
      </c>
      <c r="E25" s="191" t="s">
        <v>222</v>
      </c>
      <c r="F25" s="192"/>
      <c r="G25" s="193"/>
      <c r="H25" s="17" t="s">
        <v>223</v>
      </c>
    </row>
    <row r="26" spans="1:16384" customFormat="1" ht="24" customHeight="1" x14ac:dyDescent="0.3">
      <c r="A26" s="18" t="s">
        <v>226</v>
      </c>
      <c r="B26" s="18" t="s">
        <v>231</v>
      </c>
      <c r="C26" s="38">
        <v>0</v>
      </c>
      <c r="D26" s="39">
        <f>'05_Variance_Analysis'!H8-('04_Actual_Production_&amp;_Costs'!F9-'04_Actual_Production_&amp;_Costs'!I9)</f>
        <v>0</v>
      </c>
      <c r="E26" s="194" t="s">
        <v>236</v>
      </c>
      <c r="F26" s="194"/>
      <c r="G26" s="194"/>
      <c r="H26" s="26" t="str">
        <f>IF(ROUND(ABS(D26),2)=0,"PASS","CHECK")</f>
        <v>PASS</v>
      </c>
    </row>
    <row r="27" spans="1:16384" customFormat="1" ht="24" customHeight="1" x14ac:dyDescent="0.3">
      <c r="A27" s="18" t="s">
        <v>227</v>
      </c>
      <c r="B27" s="18" t="s">
        <v>232</v>
      </c>
      <c r="C27" s="38">
        <v>0</v>
      </c>
      <c r="D27" s="39">
        <f>'05_Variance_Analysis'!H15-('04_Actual_Production_&amp;_Costs'!F12-'04_Actual_Production_&amp;_Costs'!I12)</f>
        <v>0</v>
      </c>
      <c r="E27" s="194" t="s">
        <v>237</v>
      </c>
      <c r="F27" s="194"/>
      <c r="G27" s="194"/>
      <c r="H27" s="26" t="str">
        <f t="shared" ref="H27:H30" si="3">IF(ROUND(ABS(D27),2)=0,"PASS","CHECK")</f>
        <v>PASS</v>
      </c>
    </row>
    <row r="28" spans="1:16384" customFormat="1" ht="24" customHeight="1" x14ac:dyDescent="0.3">
      <c r="A28" s="18" t="s">
        <v>228</v>
      </c>
      <c r="B28" s="18" t="s">
        <v>233</v>
      </c>
      <c r="C28" s="38">
        <v>0</v>
      </c>
      <c r="D28" s="39">
        <f>('05_Variance_Analysis'!H20)-('04_Actual_Production_&amp;_Costs'!F14-'04_Actual_Production_&amp;_Costs'!I14)</f>
        <v>0</v>
      </c>
      <c r="E28" s="194" t="s">
        <v>238</v>
      </c>
      <c r="F28" s="194"/>
      <c r="G28" s="194"/>
      <c r="H28" s="26" t="str">
        <f t="shared" si="3"/>
        <v>PASS</v>
      </c>
    </row>
    <row r="29" spans="1:16384" customFormat="1" ht="24" customHeight="1" x14ac:dyDescent="0.3">
      <c r="A29" s="18" t="s">
        <v>229</v>
      </c>
      <c r="B29" s="18" t="s">
        <v>234</v>
      </c>
      <c r="C29" s="38">
        <v>0</v>
      </c>
      <c r="D29" s="39">
        <f>('05_Variance_Analysis'!F27+'05_Variance_Analysis'!G27)-'05_Variance_Analysis'!G21</f>
        <v>0</v>
      </c>
      <c r="E29" s="194" t="s">
        <v>239</v>
      </c>
      <c r="F29" s="194"/>
      <c r="G29" s="194"/>
      <c r="H29" s="26" t="str">
        <f t="shared" si="3"/>
        <v>PASS</v>
      </c>
    </row>
    <row r="30" spans="1:16384" customFormat="1" ht="24" customHeight="1" x14ac:dyDescent="0.3">
      <c r="A30" s="18" t="s">
        <v>230</v>
      </c>
      <c r="B30" s="18" t="s">
        <v>235</v>
      </c>
      <c r="C30" s="38">
        <v>0</v>
      </c>
      <c r="D30" s="39">
        <f>E21</f>
        <v>0</v>
      </c>
      <c r="E30" s="194" t="s">
        <v>240</v>
      </c>
      <c r="F30" s="194"/>
      <c r="G30" s="194"/>
      <c r="H30" s="26" t="str">
        <f t="shared" si="3"/>
        <v>PASS</v>
      </c>
    </row>
    <row r="31" spans="1:16384" customFormat="1" x14ac:dyDescent="0.3"/>
    <row r="32" spans="1:16384" customFormat="1" x14ac:dyDescent="0.3"/>
    <row r="33" spans="2:3" x14ac:dyDescent="0.3">
      <c r="B33" s="14" t="s">
        <v>267</v>
      </c>
      <c r="C33" s="87" t="s">
        <v>268</v>
      </c>
    </row>
    <row r="34" spans="2:3" x14ac:dyDescent="0.3">
      <c r="B34" t="s">
        <v>263</v>
      </c>
      <c r="C34" s="15">
        <f>E5</f>
        <v>6120000</v>
      </c>
    </row>
    <row r="35" spans="2:3" x14ac:dyDescent="0.3">
      <c r="B35" t="s">
        <v>264</v>
      </c>
      <c r="C35" s="15">
        <f>E20</f>
        <v>6339650</v>
      </c>
    </row>
    <row r="36" spans="2:3" x14ac:dyDescent="0.3">
      <c r="B36" t="s">
        <v>269</v>
      </c>
      <c r="C36" s="15">
        <f>C34-C35</f>
        <v>-219650</v>
      </c>
    </row>
    <row r="37" spans="2:3" x14ac:dyDescent="0.3">
      <c r="B37" t="s">
        <v>265</v>
      </c>
      <c r="C37" s="15">
        <f>D18</f>
        <v>-219650</v>
      </c>
    </row>
    <row r="38" spans="2:3" x14ac:dyDescent="0.3">
      <c r="B38" t="s">
        <v>266</v>
      </c>
      <c r="C38" s="34" t="str">
        <f>IF(C36=C37,"Check Passed","Check Failed")</f>
        <v>Check Passed</v>
      </c>
    </row>
  </sheetData>
  <mergeCells count="2056">
    <mergeCell ref="XEO24:XEV24"/>
    <mergeCell ref="XEW24:XFD24"/>
    <mergeCell ref="E25:G25"/>
    <mergeCell ref="E26:G26"/>
    <mergeCell ref="E27:G27"/>
    <mergeCell ref="E28:G28"/>
    <mergeCell ref="E29:G29"/>
    <mergeCell ref="E30:G30"/>
    <mergeCell ref="XCS24:XCZ24"/>
    <mergeCell ref="XDA24:XDH24"/>
    <mergeCell ref="XDI24:XDP24"/>
    <mergeCell ref="XDQ24:XDX24"/>
    <mergeCell ref="XDY24:XEF24"/>
    <mergeCell ref="XEG24:XEN24"/>
    <mergeCell ref="XAW24:XBD24"/>
    <mergeCell ref="XBE24:XBL24"/>
    <mergeCell ref="XBM24:XBT24"/>
    <mergeCell ref="XBU24:XCB24"/>
    <mergeCell ref="XCC24:XCJ24"/>
    <mergeCell ref="XCK24:XCR24"/>
    <mergeCell ref="WZA24:WZH24"/>
    <mergeCell ref="WZI24:WZP24"/>
    <mergeCell ref="WZQ24:WZX24"/>
    <mergeCell ref="WZY24:XAF24"/>
    <mergeCell ref="XAG24:XAN24"/>
    <mergeCell ref="XAO24:XAV24"/>
    <mergeCell ref="WXE24:WXL24"/>
    <mergeCell ref="WXM24:WXT24"/>
    <mergeCell ref="WXU24:WYB24"/>
    <mergeCell ref="WYC24:WYJ24"/>
    <mergeCell ref="WYK24:WYR24"/>
    <mergeCell ref="WYS24:WYZ24"/>
    <mergeCell ref="WVI24:WVP24"/>
    <mergeCell ref="WVQ24:WVX24"/>
    <mergeCell ref="WVY24:WWF24"/>
    <mergeCell ref="WWG24:WWN24"/>
    <mergeCell ref="WWO24:WWV24"/>
    <mergeCell ref="WWW24:WXD24"/>
    <mergeCell ref="WTM24:WTT24"/>
    <mergeCell ref="WTU24:WUB24"/>
    <mergeCell ref="WUC24:WUJ24"/>
    <mergeCell ref="WUK24:WUR24"/>
    <mergeCell ref="WUS24:WUZ24"/>
    <mergeCell ref="WVA24:WVH24"/>
    <mergeCell ref="WRQ24:WRX24"/>
    <mergeCell ref="WRY24:WSF24"/>
    <mergeCell ref="WSG24:WSN24"/>
    <mergeCell ref="WSO24:WSV24"/>
    <mergeCell ref="WSW24:WTD24"/>
    <mergeCell ref="WTE24:WTL24"/>
    <mergeCell ref="WPU24:WQB24"/>
    <mergeCell ref="WQC24:WQJ24"/>
    <mergeCell ref="WQK24:WQR24"/>
    <mergeCell ref="WQS24:WQZ24"/>
    <mergeCell ref="WRA24:WRH24"/>
    <mergeCell ref="WRI24:WRP24"/>
    <mergeCell ref="WNY24:WOF24"/>
    <mergeCell ref="WOG24:WON24"/>
    <mergeCell ref="WOO24:WOV24"/>
    <mergeCell ref="WOW24:WPD24"/>
    <mergeCell ref="WPE24:WPL24"/>
    <mergeCell ref="WPM24:WPT24"/>
    <mergeCell ref="WMC24:WMJ24"/>
    <mergeCell ref="WMK24:WMR24"/>
    <mergeCell ref="WMS24:WMZ24"/>
    <mergeCell ref="WNA24:WNH24"/>
    <mergeCell ref="WNI24:WNP24"/>
    <mergeCell ref="WNQ24:WNX24"/>
    <mergeCell ref="WKG24:WKN24"/>
    <mergeCell ref="WKO24:WKV24"/>
    <mergeCell ref="WKW24:WLD24"/>
    <mergeCell ref="WLE24:WLL24"/>
    <mergeCell ref="WLM24:WLT24"/>
    <mergeCell ref="WLU24:WMB24"/>
    <mergeCell ref="WIK24:WIR24"/>
    <mergeCell ref="WIS24:WIZ24"/>
    <mergeCell ref="WJA24:WJH24"/>
    <mergeCell ref="WJI24:WJP24"/>
    <mergeCell ref="WJQ24:WJX24"/>
    <mergeCell ref="WJY24:WKF24"/>
    <mergeCell ref="WGO24:WGV24"/>
    <mergeCell ref="WGW24:WHD24"/>
    <mergeCell ref="WHE24:WHL24"/>
    <mergeCell ref="WHM24:WHT24"/>
    <mergeCell ref="WHU24:WIB24"/>
    <mergeCell ref="WIC24:WIJ24"/>
    <mergeCell ref="WES24:WEZ24"/>
    <mergeCell ref="WFA24:WFH24"/>
    <mergeCell ref="WFI24:WFP24"/>
    <mergeCell ref="WFQ24:WFX24"/>
    <mergeCell ref="WFY24:WGF24"/>
    <mergeCell ref="WGG24:WGN24"/>
    <mergeCell ref="WCW24:WDD24"/>
    <mergeCell ref="WDE24:WDL24"/>
    <mergeCell ref="WDM24:WDT24"/>
    <mergeCell ref="WDU24:WEB24"/>
    <mergeCell ref="WEC24:WEJ24"/>
    <mergeCell ref="WEK24:WER24"/>
    <mergeCell ref="WBA24:WBH24"/>
    <mergeCell ref="WBI24:WBP24"/>
    <mergeCell ref="WBQ24:WBX24"/>
    <mergeCell ref="WBY24:WCF24"/>
    <mergeCell ref="WCG24:WCN24"/>
    <mergeCell ref="WCO24:WCV24"/>
    <mergeCell ref="VZE24:VZL24"/>
    <mergeCell ref="VZM24:VZT24"/>
    <mergeCell ref="VZU24:WAB24"/>
    <mergeCell ref="WAC24:WAJ24"/>
    <mergeCell ref="WAK24:WAR24"/>
    <mergeCell ref="WAS24:WAZ24"/>
    <mergeCell ref="VXI24:VXP24"/>
    <mergeCell ref="VXQ24:VXX24"/>
    <mergeCell ref="VXY24:VYF24"/>
    <mergeCell ref="VYG24:VYN24"/>
    <mergeCell ref="VYO24:VYV24"/>
    <mergeCell ref="VYW24:VZD24"/>
    <mergeCell ref="VVM24:VVT24"/>
    <mergeCell ref="VVU24:VWB24"/>
    <mergeCell ref="VWC24:VWJ24"/>
    <mergeCell ref="VWK24:VWR24"/>
    <mergeCell ref="VWS24:VWZ24"/>
    <mergeCell ref="VXA24:VXH24"/>
    <mergeCell ref="VTQ24:VTX24"/>
    <mergeCell ref="VTY24:VUF24"/>
    <mergeCell ref="VUG24:VUN24"/>
    <mergeCell ref="VUO24:VUV24"/>
    <mergeCell ref="VUW24:VVD24"/>
    <mergeCell ref="VVE24:VVL24"/>
    <mergeCell ref="VRU24:VSB24"/>
    <mergeCell ref="VSC24:VSJ24"/>
    <mergeCell ref="VSK24:VSR24"/>
    <mergeCell ref="VSS24:VSZ24"/>
    <mergeCell ref="VTA24:VTH24"/>
    <mergeCell ref="VTI24:VTP24"/>
    <mergeCell ref="VPY24:VQF24"/>
    <mergeCell ref="VQG24:VQN24"/>
    <mergeCell ref="VQO24:VQV24"/>
    <mergeCell ref="VQW24:VRD24"/>
    <mergeCell ref="VRE24:VRL24"/>
    <mergeCell ref="VRM24:VRT24"/>
    <mergeCell ref="VOC24:VOJ24"/>
    <mergeCell ref="VOK24:VOR24"/>
    <mergeCell ref="VOS24:VOZ24"/>
    <mergeCell ref="VPA24:VPH24"/>
    <mergeCell ref="VPI24:VPP24"/>
    <mergeCell ref="VPQ24:VPX24"/>
    <mergeCell ref="VMG24:VMN24"/>
    <mergeCell ref="VMO24:VMV24"/>
    <mergeCell ref="VMW24:VND24"/>
    <mergeCell ref="VNE24:VNL24"/>
    <mergeCell ref="VNM24:VNT24"/>
    <mergeCell ref="VNU24:VOB24"/>
    <mergeCell ref="VKK24:VKR24"/>
    <mergeCell ref="VKS24:VKZ24"/>
    <mergeCell ref="VLA24:VLH24"/>
    <mergeCell ref="VLI24:VLP24"/>
    <mergeCell ref="VLQ24:VLX24"/>
    <mergeCell ref="VLY24:VMF24"/>
    <mergeCell ref="VIO24:VIV24"/>
    <mergeCell ref="VIW24:VJD24"/>
    <mergeCell ref="VJE24:VJL24"/>
    <mergeCell ref="VJM24:VJT24"/>
    <mergeCell ref="VJU24:VKB24"/>
    <mergeCell ref="VKC24:VKJ24"/>
    <mergeCell ref="VGS24:VGZ24"/>
    <mergeCell ref="VHA24:VHH24"/>
    <mergeCell ref="VHI24:VHP24"/>
    <mergeCell ref="VHQ24:VHX24"/>
    <mergeCell ref="VHY24:VIF24"/>
    <mergeCell ref="VIG24:VIN24"/>
    <mergeCell ref="VEW24:VFD24"/>
    <mergeCell ref="VFE24:VFL24"/>
    <mergeCell ref="VFM24:VFT24"/>
    <mergeCell ref="VFU24:VGB24"/>
    <mergeCell ref="VGC24:VGJ24"/>
    <mergeCell ref="VGK24:VGR24"/>
    <mergeCell ref="VDA24:VDH24"/>
    <mergeCell ref="VDI24:VDP24"/>
    <mergeCell ref="VDQ24:VDX24"/>
    <mergeCell ref="VDY24:VEF24"/>
    <mergeCell ref="VEG24:VEN24"/>
    <mergeCell ref="VEO24:VEV24"/>
    <mergeCell ref="VBE24:VBL24"/>
    <mergeCell ref="VBM24:VBT24"/>
    <mergeCell ref="VBU24:VCB24"/>
    <mergeCell ref="VCC24:VCJ24"/>
    <mergeCell ref="VCK24:VCR24"/>
    <mergeCell ref="VCS24:VCZ24"/>
    <mergeCell ref="UZI24:UZP24"/>
    <mergeCell ref="UZQ24:UZX24"/>
    <mergeCell ref="UZY24:VAF24"/>
    <mergeCell ref="VAG24:VAN24"/>
    <mergeCell ref="VAO24:VAV24"/>
    <mergeCell ref="VAW24:VBD24"/>
    <mergeCell ref="UXM24:UXT24"/>
    <mergeCell ref="UXU24:UYB24"/>
    <mergeCell ref="UYC24:UYJ24"/>
    <mergeCell ref="UYK24:UYR24"/>
    <mergeCell ref="UYS24:UYZ24"/>
    <mergeCell ref="UZA24:UZH24"/>
    <mergeCell ref="UVQ24:UVX24"/>
    <mergeCell ref="UVY24:UWF24"/>
    <mergeCell ref="UWG24:UWN24"/>
    <mergeCell ref="UWO24:UWV24"/>
    <mergeCell ref="UWW24:UXD24"/>
    <mergeCell ref="UXE24:UXL24"/>
    <mergeCell ref="UTU24:UUB24"/>
    <mergeCell ref="UUC24:UUJ24"/>
    <mergeCell ref="UUK24:UUR24"/>
    <mergeCell ref="UUS24:UUZ24"/>
    <mergeCell ref="UVA24:UVH24"/>
    <mergeCell ref="UVI24:UVP24"/>
    <mergeCell ref="URY24:USF24"/>
    <mergeCell ref="USG24:USN24"/>
    <mergeCell ref="USO24:USV24"/>
    <mergeCell ref="USW24:UTD24"/>
    <mergeCell ref="UTE24:UTL24"/>
    <mergeCell ref="UTM24:UTT24"/>
    <mergeCell ref="UQC24:UQJ24"/>
    <mergeCell ref="UQK24:UQR24"/>
    <mergeCell ref="UQS24:UQZ24"/>
    <mergeCell ref="URA24:URH24"/>
    <mergeCell ref="URI24:URP24"/>
    <mergeCell ref="URQ24:URX24"/>
    <mergeCell ref="UOG24:UON24"/>
    <mergeCell ref="UOO24:UOV24"/>
    <mergeCell ref="UOW24:UPD24"/>
    <mergeCell ref="UPE24:UPL24"/>
    <mergeCell ref="UPM24:UPT24"/>
    <mergeCell ref="UPU24:UQB24"/>
    <mergeCell ref="UMK24:UMR24"/>
    <mergeCell ref="UMS24:UMZ24"/>
    <mergeCell ref="UNA24:UNH24"/>
    <mergeCell ref="UNI24:UNP24"/>
    <mergeCell ref="UNQ24:UNX24"/>
    <mergeCell ref="UNY24:UOF24"/>
    <mergeCell ref="UKO24:UKV24"/>
    <mergeCell ref="UKW24:ULD24"/>
    <mergeCell ref="ULE24:ULL24"/>
    <mergeCell ref="ULM24:ULT24"/>
    <mergeCell ref="ULU24:UMB24"/>
    <mergeCell ref="UMC24:UMJ24"/>
    <mergeCell ref="UIS24:UIZ24"/>
    <mergeCell ref="UJA24:UJH24"/>
    <mergeCell ref="UJI24:UJP24"/>
    <mergeCell ref="UJQ24:UJX24"/>
    <mergeCell ref="UJY24:UKF24"/>
    <mergeCell ref="UKG24:UKN24"/>
    <mergeCell ref="UGW24:UHD24"/>
    <mergeCell ref="UHE24:UHL24"/>
    <mergeCell ref="UHM24:UHT24"/>
    <mergeCell ref="UHU24:UIB24"/>
    <mergeCell ref="UIC24:UIJ24"/>
    <mergeCell ref="UIK24:UIR24"/>
    <mergeCell ref="UFA24:UFH24"/>
    <mergeCell ref="UFI24:UFP24"/>
    <mergeCell ref="UFQ24:UFX24"/>
    <mergeCell ref="UFY24:UGF24"/>
    <mergeCell ref="UGG24:UGN24"/>
    <mergeCell ref="UGO24:UGV24"/>
    <mergeCell ref="UDE24:UDL24"/>
    <mergeCell ref="UDM24:UDT24"/>
    <mergeCell ref="UDU24:UEB24"/>
    <mergeCell ref="UEC24:UEJ24"/>
    <mergeCell ref="UEK24:UER24"/>
    <mergeCell ref="UES24:UEZ24"/>
    <mergeCell ref="UBI24:UBP24"/>
    <mergeCell ref="UBQ24:UBX24"/>
    <mergeCell ref="UBY24:UCF24"/>
    <mergeCell ref="UCG24:UCN24"/>
    <mergeCell ref="UCO24:UCV24"/>
    <mergeCell ref="UCW24:UDD24"/>
    <mergeCell ref="TZM24:TZT24"/>
    <mergeCell ref="TZU24:UAB24"/>
    <mergeCell ref="UAC24:UAJ24"/>
    <mergeCell ref="UAK24:UAR24"/>
    <mergeCell ref="UAS24:UAZ24"/>
    <mergeCell ref="UBA24:UBH24"/>
    <mergeCell ref="TXQ24:TXX24"/>
    <mergeCell ref="TXY24:TYF24"/>
    <mergeCell ref="TYG24:TYN24"/>
    <mergeCell ref="TYO24:TYV24"/>
    <mergeCell ref="TYW24:TZD24"/>
    <mergeCell ref="TZE24:TZL24"/>
    <mergeCell ref="TVU24:TWB24"/>
    <mergeCell ref="TWC24:TWJ24"/>
    <mergeCell ref="TWK24:TWR24"/>
    <mergeCell ref="TWS24:TWZ24"/>
    <mergeCell ref="TXA24:TXH24"/>
    <mergeCell ref="TXI24:TXP24"/>
    <mergeCell ref="TTY24:TUF24"/>
    <mergeCell ref="TUG24:TUN24"/>
    <mergeCell ref="TUO24:TUV24"/>
    <mergeCell ref="TUW24:TVD24"/>
    <mergeCell ref="TVE24:TVL24"/>
    <mergeCell ref="TVM24:TVT24"/>
    <mergeCell ref="TSC24:TSJ24"/>
    <mergeCell ref="TSK24:TSR24"/>
    <mergeCell ref="TSS24:TSZ24"/>
    <mergeCell ref="TTA24:TTH24"/>
    <mergeCell ref="TTI24:TTP24"/>
    <mergeCell ref="TTQ24:TTX24"/>
    <mergeCell ref="TQG24:TQN24"/>
    <mergeCell ref="TQO24:TQV24"/>
    <mergeCell ref="TQW24:TRD24"/>
    <mergeCell ref="TRE24:TRL24"/>
    <mergeCell ref="TRM24:TRT24"/>
    <mergeCell ref="TRU24:TSB24"/>
    <mergeCell ref="TOK24:TOR24"/>
    <mergeCell ref="TOS24:TOZ24"/>
    <mergeCell ref="TPA24:TPH24"/>
    <mergeCell ref="TPI24:TPP24"/>
    <mergeCell ref="TPQ24:TPX24"/>
    <mergeCell ref="TPY24:TQF24"/>
    <mergeCell ref="TMO24:TMV24"/>
    <mergeCell ref="TMW24:TND24"/>
    <mergeCell ref="TNE24:TNL24"/>
    <mergeCell ref="TNM24:TNT24"/>
    <mergeCell ref="TNU24:TOB24"/>
    <mergeCell ref="TOC24:TOJ24"/>
    <mergeCell ref="TKS24:TKZ24"/>
    <mergeCell ref="TLA24:TLH24"/>
    <mergeCell ref="TLI24:TLP24"/>
    <mergeCell ref="TLQ24:TLX24"/>
    <mergeCell ref="TLY24:TMF24"/>
    <mergeCell ref="TMG24:TMN24"/>
    <mergeCell ref="TIW24:TJD24"/>
    <mergeCell ref="TJE24:TJL24"/>
    <mergeCell ref="TJM24:TJT24"/>
    <mergeCell ref="TJU24:TKB24"/>
    <mergeCell ref="TKC24:TKJ24"/>
    <mergeCell ref="TKK24:TKR24"/>
    <mergeCell ref="THA24:THH24"/>
    <mergeCell ref="THI24:THP24"/>
    <mergeCell ref="THQ24:THX24"/>
    <mergeCell ref="THY24:TIF24"/>
    <mergeCell ref="TIG24:TIN24"/>
    <mergeCell ref="TIO24:TIV24"/>
    <mergeCell ref="TFE24:TFL24"/>
    <mergeCell ref="TFM24:TFT24"/>
    <mergeCell ref="TFU24:TGB24"/>
    <mergeCell ref="TGC24:TGJ24"/>
    <mergeCell ref="TGK24:TGR24"/>
    <mergeCell ref="TGS24:TGZ24"/>
    <mergeCell ref="TDI24:TDP24"/>
    <mergeCell ref="TDQ24:TDX24"/>
    <mergeCell ref="TDY24:TEF24"/>
    <mergeCell ref="TEG24:TEN24"/>
    <mergeCell ref="TEO24:TEV24"/>
    <mergeCell ref="TEW24:TFD24"/>
    <mergeCell ref="TBM24:TBT24"/>
    <mergeCell ref="TBU24:TCB24"/>
    <mergeCell ref="TCC24:TCJ24"/>
    <mergeCell ref="TCK24:TCR24"/>
    <mergeCell ref="TCS24:TCZ24"/>
    <mergeCell ref="TDA24:TDH24"/>
    <mergeCell ref="SZQ24:SZX24"/>
    <mergeCell ref="SZY24:TAF24"/>
    <mergeCell ref="TAG24:TAN24"/>
    <mergeCell ref="TAO24:TAV24"/>
    <mergeCell ref="TAW24:TBD24"/>
    <mergeCell ref="TBE24:TBL24"/>
    <mergeCell ref="SXU24:SYB24"/>
    <mergeCell ref="SYC24:SYJ24"/>
    <mergeCell ref="SYK24:SYR24"/>
    <mergeCell ref="SYS24:SYZ24"/>
    <mergeCell ref="SZA24:SZH24"/>
    <mergeCell ref="SZI24:SZP24"/>
    <mergeCell ref="SVY24:SWF24"/>
    <mergeCell ref="SWG24:SWN24"/>
    <mergeCell ref="SWO24:SWV24"/>
    <mergeCell ref="SWW24:SXD24"/>
    <mergeCell ref="SXE24:SXL24"/>
    <mergeCell ref="SXM24:SXT24"/>
    <mergeCell ref="SUC24:SUJ24"/>
    <mergeCell ref="SUK24:SUR24"/>
    <mergeCell ref="SUS24:SUZ24"/>
    <mergeCell ref="SVA24:SVH24"/>
    <mergeCell ref="SVI24:SVP24"/>
    <mergeCell ref="SVQ24:SVX24"/>
    <mergeCell ref="SSG24:SSN24"/>
    <mergeCell ref="SSO24:SSV24"/>
    <mergeCell ref="SSW24:STD24"/>
    <mergeCell ref="STE24:STL24"/>
    <mergeCell ref="STM24:STT24"/>
    <mergeCell ref="STU24:SUB24"/>
    <mergeCell ref="SQK24:SQR24"/>
    <mergeCell ref="SQS24:SQZ24"/>
    <mergeCell ref="SRA24:SRH24"/>
    <mergeCell ref="SRI24:SRP24"/>
    <mergeCell ref="SRQ24:SRX24"/>
    <mergeCell ref="SRY24:SSF24"/>
    <mergeCell ref="SOO24:SOV24"/>
    <mergeCell ref="SOW24:SPD24"/>
    <mergeCell ref="SPE24:SPL24"/>
    <mergeCell ref="SPM24:SPT24"/>
    <mergeCell ref="SPU24:SQB24"/>
    <mergeCell ref="SQC24:SQJ24"/>
    <mergeCell ref="SMS24:SMZ24"/>
    <mergeCell ref="SNA24:SNH24"/>
    <mergeCell ref="SNI24:SNP24"/>
    <mergeCell ref="SNQ24:SNX24"/>
    <mergeCell ref="SNY24:SOF24"/>
    <mergeCell ref="SOG24:SON24"/>
    <mergeCell ref="SKW24:SLD24"/>
    <mergeCell ref="SLE24:SLL24"/>
    <mergeCell ref="SLM24:SLT24"/>
    <mergeCell ref="SLU24:SMB24"/>
    <mergeCell ref="SMC24:SMJ24"/>
    <mergeCell ref="SMK24:SMR24"/>
    <mergeCell ref="SJA24:SJH24"/>
    <mergeCell ref="SJI24:SJP24"/>
    <mergeCell ref="SJQ24:SJX24"/>
    <mergeCell ref="SJY24:SKF24"/>
    <mergeCell ref="SKG24:SKN24"/>
    <mergeCell ref="SKO24:SKV24"/>
    <mergeCell ref="SHE24:SHL24"/>
    <mergeCell ref="SHM24:SHT24"/>
    <mergeCell ref="SHU24:SIB24"/>
    <mergeCell ref="SIC24:SIJ24"/>
    <mergeCell ref="SIK24:SIR24"/>
    <mergeCell ref="SIS24:SIZ24"/>
    <mergeCell ref="SFI24:SFP24"/>
    <mergeCell ref="SFQ24:SFX24"/>
    <mergeCell ref="SFY24:SGF24"/>
    <mergeCell ref="SGG24:SGN24"/>
    <mergeCell ref="SGO24:SGV24"/>
    <mergeCell ref="SGW24:SHD24"/>
    <mergeCell ref="SDM24:SDT24"/>
    <mergeCell ref="SDU24:SEB24"/>
    <mergeCell ref="SEC24:SEJ24"/>
    <mergeCell ref="SEK24:SER24"/>
    <mergeCell ref="SES24:SEZ24"/>
    <mergeCell ref="SFA24:SFH24"/>
    <mergeCell ref="SBQ24:SBX24"/>
    <mergeCell ref="SBY24:SCF24"/>
    <mergeCell ref="SCG24:SCN24"/>
    <mergeCell ref="SCO24:SCV24"/>
    <mergeCell ref="SCW24:SDD24"/>
    <mergeCell ref="SDE24:SDL24"/>
    <mergeCell ref="RZU24:SAB24"/>
    <mergeCell ref="SAC24:SAJ24"/>
    <mergeCell ref="SAK24:SAR24"/>
    <mergeCell ref="SAS24:SAZ24"/>
    <mergeCell ref="SBA24:SBH24"/>
    <mergeCell ref="SBI24:SBP24"/>
    <mergeCell ref="RXY24:RYF24"/>
    <mergeCell ref="RYG24:RYN24"/>
    <mergeCell ref="RYO24:RYV24"/>
    <mergeCell ref="RYW24:RZD24"/>
    <mergeCell ref="RZE24:RZL24"/>
    <mergeCell ref="RZM24:RZT24"/>
    <mergeCell ref="RWC24:RWJ24"/>
    <mergeCell ref="RWK24:RWR24"/>
    <mergeCell ref="RWS24:RWZ24"/>
    <mergeCell ref="RXA24:RXH24"/>
    <mergeCell ref="RXI24:RXP24"/>
    <mergeCell ref="RXQ24:RXX24"/>
    <mergeCell ref="RUG24:RUN24"/>
    <mergeCell ref="RUO24:RUV24"/>
    <mergeCell ref="RUW24:RVD24"/>
    <mergeCell ref="RVE24:RVL24"/>
    <mergeCell ref="RVM24:RVT24"/>
    <mergeCell ref="RVU24:RWB24"/>
    <mergeCell ref="RSK24:RSR24"/>
    <mergeCell ref="RSS24:RSZ24"/>
    <mergeCell ref="RTA24:RTH24"/>
    <mergeCell ref="RTI24:RTP24"/>
    <mergeCell ref="RTQ24:RTX24"/>
    <mergeCell ref="RTY24:RUF24"/>
    <mergeCell ref="RQO24:RQV24"/>
    <mergeCell ref="RQW24:RRD24"/>
    <mergeCell ref="RRE24:RRL24"/>
    <mergeCell ref="RRM24:RRT24"/>
    <mergeCell ref="RRU24:RSB24"/>
    <mergeCell ref="RSC24:RSJ24"/>
    <mergeCell ref="ROS24:ROZ24"/>
    <mergeCell ref="RPA24:RPH24"/>
    <mergeCell ref="RPI24:RPP24"/>
    <mergeCell ref="RPQ24:RPX24"/>
    <mergeCell ref="RPY24:RQF24"/>
    <mergeCell ref="RQG24:RQN24"/>
    <mergeCell ref="RMW24:RND24"/>
    <mergeCell ref="RNE24:RNL24"/>
    <mergeCell ref="RNM24:RNT24"/>
    <mergeCell ref="RNU24:ROB24"/>
    <mergeCell ref="ROC24:ROJ24"/>
    <mergeCell ref="ROK24:ROR24"/>
    <mergeCell ref="RLA24:RLH24"/>
    <mergeCell ref="RLI24:RLP24"/>
    <mergeCell ref="RLQ24:RLX24"/>
    <mergeCell ref="RLY24:RMF24"/>
    <mergeCell ref="RMG24:RMN24"/>
    <mergeCell ref="RMO24:RMV24"/>
    <mergeCell ref="RJE24:RJL24"/>
    <mergeCell ref="RJM24:RJT24"/>
    <mergeCell ref="RJU24:RKB24"/>
    <mergeCell ref="RKC24:RKJ24"/>
    <mergeCell ref="RKK24:RKR24"/>
    <mergeCell ref="RKS24:RKZ24"/>
    <mergeCell ref="RHI24:RHP24"/>
    <mergeCell ref="RHQ24:RHX24"/>
    <mergeCell ref="RHY24:RIF24"/>
    <mergeCell ref="RIG24:RIN24"/>
    <mergeCell ref="RIO24:RIV24"/>
    <mergeCell ref="RIW24:RJD24"/>
    <mergeCell ref="RFM24:RFT24"/>
    <mergeCell ref="RFU24:RGB24"/>
    <mergeCell ref="RGC24:RGJ24"/>
    <mergeCell ref="RGK24:RGR24"/>
    <mergeCell ref="RGS24:RGZ24"/>
    <mergeCell ref="RHA24:RHH24"/>
    <mergeCell ref="RDQ24:RDX24"/>
    <mergeCell ref="RDY24:REF24"/>
    <mergeCell ref="REG24:REN24"/>
    <mergeCell ref="REO24:REV24"/>
    <mergeCell ref="REW24:RFD24"/>
    <mergeCell ref="RFE24:RFL24"/>
    <mergeCell ref="RBU24:RCB24"/>
    <mergeCell ref="RCC24:RCJ24"/>
    <mergeCell ref="RCK24:RCR24"/>
    <mergeCell ref="RCS24:RCZ24"/>
    <mergeCell ref="RDA24:RDH24"/>
    <mergeCell ref="RDI24:RDP24"/>
    <mergeCell ref="QZY24:RAF24"/>
    <mergeCell ref="RAG24:RAN24"/>
    <mergeCell ref="RAO24:RAV24"/>
    <mergeCell ref="RAW24:RBD24"/>
    <mergeCell ref="RBE24:RBL24"/>
    <mergeCell ref="RBM24:RBT24"/>
    <mergeCell ref="QYC24:QYJ24"/>
    <mergeCell ref="QYK24:QYR24"/>
    <mergeCell ref="QYS24:QYZ24"/>
    <mergeCell ref="QZA24:QZH24"/>
    <mergeCell ref="QZI24:QZP24"/>
    <mergeCell ref="QZQ24:QZX24"/>
    <mergeCell ref="QWG24:QWN24"/>
    <mergeCell ref="QWO24:QWV24"/>
    <mergeCell ref="QWW24:QXD24"/>
    <mergeCell ref="QXE24:QXL24"/>
    <mergeCell ref="QXM24:QXT24"/>
    <mergeCell ref="QXU24:QYB24"/>
    <mergeCell ref="QUK24:QUR24"/>
    <mergeCell ref="QUS24:QUZ24"/>
    <mergeCell ref="QVA24:QVH24"/>
    <mergeCell ref="QVI24:QVP24"/>
    <mergeCell ref="QVQ24:QVX24"/>
    <mergeCell ref="QVY24:QWF24"/>
    <mergeCell ref="QSO24:QSV24"/>
    <mergeCell ref="QSW24:QTD24"/>
    <mergeCell ref="QTE24:QTL24"/>
    <mergeCell ref="QTM24:QTT24"/>
    <mergeCell ref="QTU24:QUB24"/>
    <mergeCell ref="QUC24:QUJ24"/>
    <mergeCell ref="QQS24:QQZ24"/>
    <mergeCell ref="QRA24:QRH24"/>
    <mergeCell ref="QRI24:QRP24"/>
    <mergeCell ref="QRQ24:QRX24"/>
    <mergeCell ref="QRY24:QSF24"/>
    <mergeCell ref="QSG24:QSN24"/>
    <mergeCell ref="QOW24:QPD24"/>
    <mergeCell ref="QPE24:QPL24"/>
    <mergeCell ref="QPM24:QPT24"/>
    <mergeCell ref="QPU24:QQB24"/>
    <mergeCell ref="QQC24:QQJ24"/>
    <mergeCell ref="QQK24:QQR24"/>
    <mergeCell ref="QNA24:QNH24"/>
    <mergeCell ref="QNI24:QNP24"/>
    <mergeCell ref="QNQ24:QNX24"/>
    <mergeCell ref="QNY24:QOF24"/>
    <mergeCell ref="QOG24:QON24"/>
    <mergeCell ref="QOO24:QOV24"/>
    <mergeCell ref="QLE24:QLL24"/>
    <mergeCell ref="QLM24:QLT24"/>
    <mergeCell ref="QLU24:QMB24"/>
    <mergeCell ref="QMC24:QMJ24"/>
    <mergeCell ref="QMK24:QMR24"/>
    <mergeCell ref="QMS24:QMZ24"/>
    <mergeCell ref="QJI24:QJP24"/>
    <mergeCell ref="QJQ24:QJX24"/>
    <mergeCell ref="QJY24:QKF24"/>
    <mergeCell ref="QKG24:QKN24"/>
    <mergeCell ref="QKO24:QKV24"/>
    <mergeCell ref="QKW24:QLD24"/>
    <mergeCell ref="QHM24:QHT24"/>
    <mergeCell ref="QHU24:QIB24"/>
    <mergeCell ref="QIC24:QIJ24"/>
    <mergeCell ref="QIK24:QIR24"/>
    <mergeCell ref="QIS24:QIZ24"/>
    <mergeCell ref="QJA24:QJH24"/>
    <mergeCell ref="QFQ24:QFX24"/>
    <mergeCell ref="QFY24:QGF24"/>
    <mergeCell ref="QGG24:QGN24"/>
    <mergeCell ref="QGO24:QGV24"/>
    <mergeCell ref="QGW24:QHD24"/>
    <mergeCell ref="QHE24:QHL24"/>
    <mergeCell ref="QDU24:QEB24"/>
    <mergeCell ref="QEC24:QEJ24"/>
    <mergeCell ref="QEK24:QER24"/>
    <mergeCell ref="QES24:QEZ24"/>
    <mergeCell ref="QFA24:QFH24"/>
    <mergeCell ref="QFI24:QFP24"/>
    <mergeCell ref="QBY24:QCF24"/>
    <mergeCell ref="QCG24:QCN24"/>
    <mergeCell ref="QCO24:QCV24"/>
    <mergeCell ref="QCW24:QDD24"/>
    <mergeCell ref="QDE24:QDL24"/>
    <mergeCell ref="QDM24:QDT24"/>
    <mergeCell ref="QAC24:QAJ24"/>
    <mergeCell ref="QAK24:QAR24"/>
    <mergeCell ref="QAS24:QAZ24"/>
    <mergeCell ref="QBA24:QBH24"/>
    <mergeCell ref="QBI24:QBP24"/>
    <mergeCell ref="QBQ24:QBX24"/>
    <mergeCell ref="PYG24:PYN24"/>
    <mergeCell ref="PYO24:PYV24"/>
    <mergeCell ref="PYW24:PZD24"/>
    <mergeCell ref="PZE24:PZL24"/>
    <mergeCell ref="PZM24:PZT24"/>
    <mergeCell ref="PZU24:QAB24"/>
    <mergeCell ref="PWK24:PWR24"/>
    <mergeCell ref="PWS24:PWZ24"/>
    <mergeCell ref="PXA24:PXH24"/>
    <mergeCell ref="PXI24:PXP24"/>
    <mergeCell ref="PXQ24:PXX24"/>
    <mergeCell ref="PXY24:PYF24"/>
    <mergeCell ref="PUO24:PUV24"/>
    <mergeCell ref="PUW24:PVD24"/>
    <mergeCell ref="PVE24:PVL24"/>
    <mergeCell ref="PVM24:PVT24"/>
    <mergeCell ref="PVU24:PWB24"/>
    <mergeCell ref="PWC24:PWJ24"/>
    <mergeCell ref="PSS24:PSZ24"/>
    <mergeCell ref="PTA24:PTH24"/>
    <mergeCell ref="PTI24:PTP24"/>
    <mergeCell ref="PTQ24:PTX24"/>
    <mergeCell ref="PTY24:PUF24"/>
    <mergeCell ref="PUG24:PUN24"/>
    <mergeCell ref="PQW24:PRD24"/>
    <mergeCell ref="PRE24:PRL24"/>
    <mergeCell ref="PRM24:PRT24"/>
    <mergeCell ref="PRU24:PSB24"/>
    <mergeCell ref="PSC24:PSJ24"/>
    <mergeCell ref="PSK24:PSR24"/>
    <mergeCell ref="PPA24:PPH24"/>
    <mergeCell ref="PPI24:PPP24"/>
    <mergeCell ref="PPQ24:PPX24"/>
    <mergeCell ref="PPY24:PQF24"/>
    <mergeCell ref="PQG24:PQN24"/>
    <mergeCell ref="PQO24:PQV24"/>
    <mergeCell ref="PNE24:PNL24"/>
    <mergeCell ref="PNM24:PNT24"/>
    <mergeCell ref="PNU24:POB24"/>
    <mergeCell ref="POC24:POJ24"/>
    <mergeCell ref="POK24:POR24"/>
    <mergeCell ref="POS24:POZ24"/>
    <mergeCell ref="PLI24:PLP24"/>
    <mergeCell ref="PLQ24:PLX24"/>
    <mergeCell ref="PLY24:PMF24"/>
    <mergeCell ref="PMG24:PMN24"/>
    <mergeCell ref="PMO24:PMV24"/>
    <mergeCell ref="PMW24:PND24"/>
    <mergeCell ref="PJM24:PJT24"/>
    <mergeCell ref="PJU24:PKB24"/>
    <mergeCell ref="PKC24:PKJ24"/>
    <mergeCell ref="PKK24:PKR24"/>
    <mergeCell ref="PKS24:PKZ24"/>
    <mergeCell ref="PLA24:PLH24"/>
    <mergeCell ref="PHQ24:PHX24"/>
    <mergeCell ref="PHY24:PIF24"/>
    <mergeCell ref="PIG24:PIN24"/>
    <mergeCell ref="PIO24:PIV24"/>
    <mergeCell ref="PIW24:PJD24"/>
    <mergeCell ref="PJE24:PJL24"/>
    <mergeCell ref="PFU24:PGB24"/>
    <mergeCell ref="PGC24:PGJ24"/>
    <mergeCell ref="PGK24:PGR24"/>
    <mergeCell ref="PGS24:PGZ24"/>
    <mergeCell ref="PHA24:PHH24"/>
    <mergeCell ref="PHI24:PHP24"/>
    <mergeCell ref="PDY24:PEF24"/>
    <mergeCell ref="PEG24:PEN24"/>
    <mergeCell ref="PEO24:PEV24"/>
    <mergeCell ref="PEW24:PFD24"/>
    <mergeCell ref="PFE24:PFL24"/>
    <mergeCell ref="PFM24:PFT24"/>
    <mergeCell ref="PCC24:PCJ24"/>
    <mergeCell ref="PCK24:PCR24"/>
    <mergeCell ref="PCS24:PCZ24"/>
    <mergeCell ref="PDA24:PDH24"/>
    <mergeCell ref="PDI24:PDP24"/>
    <mergeCell ref="PDQ24:PDX24"/>
    <mergeCell ref="PAG24:PAN24"/>
    <mergeCell ref="PAO24:PAV24"/>
    <mergeCell ref="PAW24:PBD24"/>
    <mergeCell ref="PBE24:PBL24"/>
    <mergeCell ref="PBM24:PBT24"/>
    <mergeCell ref="PBU24:PCB24"/>
    <mergeCell ref="OYK24:OYR24"/>
    <mergeCell ref="OYS24:OYZ24"/>
    <mergeCell ref="OZA24:OZH24"/>
    <mergeCell ref="OZI24:OZP24"/>
    <mergeCell ref="OZQ24:OZX24"/>
    <mergeCell ref="OZY24:PAF24"/>
    <mergeCell ref="OWO24:OWV24"/>
    <mergeCell ref="OWW24:OXD24"/>
    <mergeCell ref="OXE24:OXL24"/>
    <mergeCell ref="OXM24:OXT24"/>
    <mergeCell ref="OXU24:OYB24"/>
    <mergeCell ref="OYC24:OYJ24"/>
    <mergeCell ref="OUS24:OUZ24"/>
    <mergeCell ref="OVA24:OVH24"/>
    <mergeCell ref="OVI24:OVP24"/>
    <mergeCell ref="OVQ24:OVX24"/>
    <mergeCell ref="OVY24:OWF24"/>
    <mergeCell ref="OWG24:OWN24"/>
    <mergeCell ref="OSW24:OTD24"/>
    <mergeCell ref="OTE24:OTL24"/>
    <mergeCell ref="OTM24:OTT24"/>
    <mergeCell ref="OTU24:OUB24"/>
    <mergeCell ref="OUC24:OUJ24"/>
    <mergeCell ref="OUK24:OUR24"/>
    <mergeCell ref="ORA24:ORH24"/>
    <mergeCell ref="ORI24:ORP24"/>
    <mergeCell ref="ORQ24:ORX24"/>
    <mergeCell ref="ORY24:OSF24"/>
    <mergeCell ref="OSG24:OSN24"/>
    <mergeCell ref="OSO24:OSV24"/>
    <mergeCell ref="OPE24:OPL24"/>
    <mergeCell ref="OPM24:OPT24"/>
    <mergeCell ref="OPU24:OQB24"/>
    <mergeCell ref="OQC24:OQJ24"/>
    <mergeCell ref="OQK24:OQR24"/>
    <mergeCell ref="OQS24:OQZ24"/>
    <mergeCell ref="ONI24:ONP24"/>
    <mergeCell ref="ONQ24:ONX24"/>
    <mergeCell ref="ONY24:OOF24"/>
    <mergeCell ref="OOG24:OON24"/>
    <mergeCell ref="OOO24:OOV24"/>
    <mergeCell ref="OOW24:OPD24"/>
    <mergeCell ref="OLM24:OLT24"/>
    <mergeCell ref="OLU24:OMB24"/>
    <mergeCell ref="OMC24:OMJ24"/>
    <mergeCell ref="OMK24:OMR24"/>
    <mergeCell ref="OMS24:OMZ24"/>
    <mergeCell ref="ONA24:ONH24"/>
    <mergeCell ref="OJQ24:OJX24"/>
    <mergeCell ref="OJY24:OKF24"/>
    <mergeCell ref="OKG24:OKN24"/>
    <mergeCell ref="OKO24:OKV24"/>
    <mergeCell ref="OKW24:OLD24"/>
    <mergeCell ref="OLE24:OLL24"/>
    <mergeCell ref="OHU24:OIB24"/>
    <mergeCell ref="OIC24:OIJ24"/>
    <mergeCell ref="OIK24:OIR24"/>
    <mergeCell ref="OIS24:OIZ24"/>
    <mergeCell ref="OJA24:OJH24"/>
    <mergeCell ref="OJI24:OJP24"/>
    <mergeCell ref="OFY24:OGF24"/>
    <mergeCell ref="OGG24:OGN24"/>
    <mergeCell ref="OGO24:OGV24"/>
    <mergeCell ref="OGW24:OHD24"/>
    <mergeCell ref="OHE24:OHL24"/>
    <mergeCell ref="OHM24:OHT24"/>
    <mergeCell ref="OEC24:OEJ24"/>
    <mergeCell ref="OEK24:OER24"/>
    <mergeCell ref="OES24:OEZ24"/>
    <mergeCell ref="OFA24:OFH24"/>
    <mergeCell ref="OFI24:OFP24"/>
    <mergeCell ref="OFQ24:OFX24"/>
    <mergeCell ref="OCG24:OCN24"/>
    <mergeCell ref="OCO24:OCV24"/>
    <mergeCell ref="OCW24:ODD24"/>
    <mergeCell ref="ODE24:ODL24"/>
    <mergeCell ref="ODM24:ODT24"/>
    <mergeCell ref="ODU24:OEB24"/>
    <mergeCell ref="OAK24:OAR24"/>
    <mergeCell ref="OAS24:OAZ24"/>
    <mergeCell ref="OBA24:OBH24"/>
    <mergeCell ref="OBI24:OBP24"/>
    <mergeCell ref="OBQ24:OBX24"/>
    <mergeCell ref="OBY24:OCF24"/>
    <mergeCell ref="NYO24:NYV24"/>
    <mergeCell ref="NYW24:NZD24"/>
    <mergeCell ref="NZE24:NZL24"/>
    <mergeCell ref="NZM24:NZT24"/>
    <mergeCell ref="NZU24:OAB24"/>
    <mergeCell ref="OAC24:OAJ24"/>
    <mergeCell ref="NWS24:NWZ24"/>
    <mergeCell ref="NXA24:NXH24"/>
    <mergeCell ref="NXI24:NXP24"/>
    <mergeCell ref="NXQ24:NXX24"/>
    <mergeCell ref="NXY24:NYF24"/>
    <mergeCell ref="NYG24:NYN24"/>
    <mergeCell ref="NUW24:NVD24"/>
    <mergeCell ref="NVE24:NVL24"/>
    <mergeCell ref="NVM24:NVT24"/>
    <mergeCell ref="NVU24:NWB24"/>
    <mergeCell ref="NWC24:NWJ24"/>
    <mergeCell ref="NWK24:NWR24"/>
    <mergeCell ref="NTA24:NTH24"/>
    <mergeCell ref="NTI24:NTP24"/>
    <mergeCell ref="NTQ24:NTX24"/>
    <mergeCell ref="NTY24:NUF24"/>
    <mergeCell ref="NUG24:NUN24"/>
    <mergeCell ref="NUO24:NUV24"/>
    <mergeCell ref="NRE24:NRL24"/>
    <mergeCell ref="NRM24:NRT24"/>
    <mergeCell ref="NRU24:NSB24"/>
    <mergeCell ref="NSC24:NSJ24"/>
    <mergeCell ref="NSK24:NSR24"/>
    <mergeCell ref="NSS24:NSZ24"/>
    <mergeCell ref="NPI24:NPP24"/>
    <mergeCell ref="NPQ24:NPX24"/>
    <mergeCell ref="NPY24:NQF24"/>
    <mergeCell ref="NQG24:NQN24"/>
    <mergeCell ref="NQO24:NQV24"/>
    <mergeCell ref="NQW24:NRD24"/>
    <mergeCell ref="NNM24:NNT24"/>
    <mergeCell ref="NNU24:NOB24"/>
    <mergeCell ref="NOC24:NOJ24"/>
    <mergeCell ref="NOK24:NOR24"/>
    <mergeCell ref="NOS24:NOZ24"/>
    <mergeCell ref="NPA24:NPH24"/>
    <mergeCell ref="NLQ24:NLX24"/>
    <mergeCell ref="NLY24:NMF24"/>
    <mergeCell ref="NMG24:NMN24"/>
    <mergeCell ref="NMO24:NMV24"/>
    <mergeCell ref="NMW24:NND24"/>
    <mergeCell ref="NNE24:NNL24"/>
    <mergeCell ref="NJU24:NKB24"/>
    <mergeCell ref="NKC24:NKJ24"/>
    <mergeCell ref="NKK24:NKR24"/>
    <mergeCell ref="NKS24:NKZ24"/>
    <mergeCell ref="NLA24:NLH24"/>
    <mergeCell ref="NLI24:NLP24"/>
    <mergeCell ref="NHY24:NIF24"/>
    <mergeCell ref="NIG24:NIN24"/>
    <mergeCell ref="NIO24:NIV24"/>
    <mergeCell ref="NIW24:NJD24"/>
    <mergeCell ref="NJE24:NJL24"/>
    <mergeCell ref="NJM24:NJT24"/>
    <mergeCell ref="NGC24:NGJ24"/>
    <mergeCell ref="NGK24:NGR24"/>
    <mergeCell ref="NGS24:NGZ24"/>
    <mergeCell ref="NHA24:NHH24"/>
    <mergeCell ref="NHI24:NHP24"/>
    <mergeCell ref="NHQ24:NHX24"/>
    <mergeCell ref="NEG24:NEN24"/>
    <mergeCell ref="NEO24:NEV24"/>
    <mergeCell ref="NEW24:NFD24"/>
    <mergeCell ref="NFE24:NFL24"/>
    <mergeCell ref="NFM24:NFT24"/>
    <mergeCell ref="NFU24:NGB24"/>
    <mergeCell ref="NCK24:NCR24"/>
    <mergeCell ref="NCS24:NCZ24"/>
    <mergeCell ref="NDA24:NDH24"/>
    <mergeCell ref="NDI24:NDP24"/>
    <mergeCell ref="NDQ24:NDX24"/>
    <mergeCell ref="NDY24:NEF24"/>
    <mergeCell ref="NAO24:NAV24"/>
    <mergeCell ref="NAW24:NBD24"/>
    <mergeCell ref="NBE24:NBL24"/>
    <mergeCell ref="NBM24:NBT24"/>
    <mergeCell ref="NBU24:NCB24"/>
    <mergeCell ref="NCC24:NCJ24"/>
    <mergeCell ref="MYS24:MYZ24"/>
    <mergeCell ref="MZA24:MZH24"/>
    <mergeCell ref="MZI24:MZP24"/>
    <mergeCell ref="MZQ24:MZX24"/>
    <mergeCell ref="MZY24:NAF24"/>
    <mergeCell ref="NAG24:NAN24"/>
    <mergeCell ref="MWW24:MXD24"/>
    <mergeCell ref="MXE24:MXL24"/>
    <mergeCell ref="MXM24:MXT24"/>
    <mergeCell ref="MXU24:MYB24"/>
    <mergeCell ref="MYC24:MYJ24"/>
    <mergeCell ref="MYK24:MYR24"/>
    <mergeCell ref="MVA24:MVH24"/>
    <mergeCell ref="MVI24:MVP24"/>
    <mergeCell ref="MVQ24:MVX24"/>
    <mergeCell ref="MVY24:MWF24"/>
    <mergeCell ref="MWG24:MWN24"/>
    <mergeCell ref="MWO24:MWV24"/>
    <mergeCell ref="MTE24:MTL24"/>
    <mergeCell ref="MTM24:MTT24"/>
    <mergeCell ref="MTU24:MUB24"/>
    <mergeCell ref="MUC24:MUJ24"/>
    <mergeCell ref="MUK24:MUR24"/>
    <mergeCell ref="MUS24:MUZ24"/>
    <mergeCell ref="MRI24:MRP24"/>
    <mergeCell ref="MRQ24:MRX24"/>
    <mergeCell ref="MRY24:MSF24"/>
    <mergeCell ref="MSG24:MSN24"/>
    <mergeCell ref="MSO24:MSV24"/>
    <mergeCell ref="MSW24:MTD24"/>
    <mergeCell ref="MPM24:MPT24"/>
    <mergeCell ref="MPU24:MQB24"/>
    <mergeCell ref="MQC24:MQJ24"/>
    <mergeCell ref="MQK24:MQR24"/>
    <mergeCell ref="MQS24:MQZ24"/>
    <mergeCell ref="MRA24:MRH24"/>
    <mergeCell ref="MNQ24:MNX24"/>
    <mergeCell ref="MNY24:MOF24"/>
    <mergeCell ref="MOG24:MON24"/>
    <mergeCell ref="MOO24:MOV24"/>
    <mergeCell ref="MOW24:MPD24"/>
    <mergeCell ref="MPE24:MPL24"/>
    <mergeCell ref="MLU24:MMB24"/>
    <mergeCell ref="MMC24:MMJ24"/>
    <mergeCell ref="MMK24:MMR24"/>
    <mergeCell ref="MMS24:MMZ24"/>
    <mergeCell ref="MNA24:MNH24"/>
    <mergeCell ref="MNI24:MNP24"/>
    <mergeCell ref="MJY24:MKF24"/>
    <mergeCell ref="MKG24:MKN24"/>
    <mergeCell ref="MKO24:MKV24"/>
    <mergeCell ref="MKW24:MLD24"/>
    <mergeCell ref="MLE24:MLL24"/>
    <mergeCell ref="MLM24:MLT24"/>
    <mergeCell ref="MIC24:MIJ24"/>
    <mergeCell ref="MIK24:MIR24"/>
    <mergeCell ref="MIS24:MIZ24"/>
    <mergeCell ref="MJA24:MJH24"/>
    <mergeCell ref="MJI24:MJP24"/>
    <mergeCell ref="MJQ24:MJX24"/>
    <mergeCell ref="MGG24:MGN24"/>
    <mergeCell ref="MGO24:MGV24"/>
    <mergeCell ref="MGW24:MHD24"/>
    <mergeCell ref="MHE24:MHL24"/>
    <mergeCell ref="MHM24:MHT24"/>
    <mergeCell ref="MHU24:MIB24"/>
    <mergeCell ref="MEK24:MER24"/>
    <mergeCell ref="MES24:MEZ24"/>
    <mergeCell ref="MFA24:MFH24"/>
    <mergeCell ref="MFI24:MFP24"/>
    <mergeCell ref="MFQ24:MFX24"/>
    <mergeCell ref="MFY24:MGF24"/>
    <mergeCell ref="MCO24:MCV24"/>
    <mergeCell ref="MCW24:MDD24"/>
    <mergeCell ref="MDE24:MDL24"/>
    <mergeCell ref="MDM24:MDT24"/>
    <mergeCell ref="MDU24:MEB24"/>
    <mergeCell ref="MEC24:MEJ24"/>
    <mergeCell ref="MAS24:MAZ24"/>
    <mergeCell ref="MBA24:MBH24"/>
    <mergeCell ref="MBI24:MBP24"/>
    <mergeCell ref="MBQ24:MBX24"/>
    <mergeCell ref="MBY24:MCF24"/>
    <mergeCell ref="MCG24:MCN24"/>
    <mergeCell ref="LYW24:LZD24"/>
    <mergeCell ref="LZE24:LZL24"/>
    <mergeCell ref="LZM24:LZT24"/>
    <mergeCell ref="LZU24:MAB24"/>
    <mergeCell ref="MAC24:MAJ24"/>
    <mergeCell ref="MAK24:MAR24"/>
    <mergeCell ref="LXA24:LXH24"/>
    <mergeCell ref="LXI24:LXP24"/>
    <mergeCell ref="LXQ24:LXX24"/>
    <mergeCell ref="LXY24:LYF24"/>
    <mergeCell ref="LYG24:LYN24"/>
    <mergeCell ref="LYO24:LYV24"/>
    <mergeCell ref="LVE24:LVL24"/>
    <mergeCell ref="LVM24:LVT24"/>
    <mergeCell ref="LVU24:LWB24"/>
    <mergeCell ref="LWC24:LWJ24"/>
    <mergeCell ref="LWK24:LWR24"/>
    <mergeCell ref="LWS24:LWZ24"/>
    <mergeCell ref="LTI24:LTP24"/>
    <mergeCell ref="LTQ24:LTX24"/>
    <mergeCell ref="LTY24:LUF24"/>
    <mergeCell ref="LUG24:LUN24"/>
    <mergeCell ref="LUO24:LUV24"/>
    <mergeCell ref="LUW24:LVD24"/>
    <mergeCell ref="LRM24:LRT24"/>
    <mergeCell ref="LRU24:LSB24"/>
    <mergeCell ref="LSC24:LSJ24"/>
    <mergeCell ref="LSK24:LSR24"/>
    <mergeCell ref="LSS24:LSZ24"/>
    <mergeCell ref="LTA24:LTH24"/>
    <mergeCell ref="LPQ24:LPX24"/>
    <mergeCell ref="LPY24:LQF24"/>
    <mergeCell ref="LQG24:LQN24"/>
    <mergeCell ref="LQO24:LQV24"/>
    <mergeCell ref="LQW24:LRD24"/>
    <mergeCell ref="LRE24:LRL24"/>
    <mergeCell ref="LNU24:LOB24"/>
    <mergeCell ref="LOC24:LOJ24"/>
    <mergeCell ref="LOK24:LOR24"/>
    <mergeCell ref="LOS24:LOZ24"/>
    <mergeCell ref="LPA24:LPH24"/>
    <mergeCell ref="LPI24:LPP24"/>
    <mergeCell ref="LLY24:LMF24"/>
    <mergeCell ref="LMG24:LMN24"/>
    <mergeCell ref="LMO24:LMV24"/>
    <mergeCell ref="LMW24:LND24"/>
    <mergeCell ref="LNE24:LNL24"/>
    <mergeCell ref="LNM24:LNT24"/>
    <mergeCell ref="LKC24:LKJ24"/>
    <mergeCell ref="LKK24:LKR24"/>
    <mergeCell ref="LKS24:LKZ24"/>
    <mergeCell ref="LLA24:LLH24"/>
    <mergeCell ref="LLI24:LLP24"/>
    <mergeCell ref="LLQ24:LLX24"/>
    <mergeCell ref="LIG24:LIN24"/>
    <mergeCell ref="LIO24:LIV24"/>
    <mergeCell ref="LIW24:LJD24"/>
    <mergeCell ref="LJE24:LJL24"/>
    <mergeCell ref="LJM24:LJT24"/>
    <mergeCell ref="LJU24:LKB24"/>
    <mergeCell ref="LGK24:LGR24"/>
    <mergeCell ref="LGS24:LGZ24"/>
    <mergeCell ref="LHA24:LHH24"/>
    <mergeCell ref="LHI24:LHP24"/>
    <mergeCell ref="LHQ24:LHX24"/>
    <mergeCell ref="LHY24:LIF24"/>
    <mergeCell ref="LEO24:LEV24"/>
    <mergeCell ref="LEW24:LFD24"/>
    <mergeCell ref="LFE24:LFL24"/>
    <mergeCell ref="LFM24:LFT24"/>
    <mergeCell ref="LFU24:LGB24"/>
    <mergeCell ref="LGC24:LGJ24"/>
    <mergeCell ref="LCS24:LCZ24"/>
    <mergeCell ref="LDA24:LDH24"/>
    <mergeCell ref="LDI24:LDP24"/>
    <mergeCell ref="LDQ24:LDX24"/>
    <mergeCell ref="LDY24:LEF24"/>
    <mergeCell ref="LEG24:LEN24"/>
    <mergeCell ref="LAW24:LBD24"/>
    <mergeCell ref="LBE24:LBL24"/>
    <mergeCell ref="LBM24:LBT24"/>
    <mergeCell ref="LBU24:LCB24"/>
    <mergeCell ref="LCC24:LCJ24"/>
    <mergeCell ref="LCK24:LCR24"/>
    <mergeCell ref="KZA24:KZH24"/>
    <mergeCell ref="KZI24:KZP24"/>
    <mergeCell ref="KZQ24:KZX24"/>
    <mergeCell ref="KZY24:LAF24"/>
    <mergeCell ref="LAG24:LAN24"/>
    <mergeCell ref="LAO24:LAV24"/>
    <mergeCell ref="KXE24:KXL24"/>
    <mergeCell ref="KXM24:KXT24"/>
    <mergeCell ref="KXU24:KYB24"/>
    <mergeCell ref="KYC24:KYJ24"/>
    <mergeCell ref="KYK24:KYR24"/>
    <mergeCell ref="KYS24:KYZ24"/>
    <mergeCell ref="KVI24:KVP24"/>
    <mergeCell ref="KVQ24:KVX24"/>
    <mergeCell ref="KVY24:KWF24"/>
    <mergeCell ref="KWG24:KWN24"/>
    <mergeCell ref="KWO24:KWV24"/>
    <mergeCell ref="KWW24:KXD24"/>
    <mergeCell ref="KTM24:KTT24"/>
    <mergeCell ref="KTU24:KUB24"/>
    <mergeCell ref="KUC24:KUJ24"/>
    <mergeCell ref="KUK24:KUR24"/>
    <mergeCell ref="KUS24:KUZ24"/>
    <mergeCell ref="KVA24:KVH24"/>
    <mergeCell ref="KRQ24:KRX24"/>
    <mergeCell ref="KRY24:KSF24"/>
    <mergeCell ref="KSG24:KSN24"/>
    <mergeCell ref="KSO24:KSV24"/>
    <mergeCell ref="KSW24:KTD24"/>
    <mergeCell ref="KTE24:KTL24"/>
    <mergeCell ref="KPU24:KQB24"/>
    <mergeCell ref="KQC24:KQJ24"/>
    <mergeCell ref="KQK24:KQR24"/>
    <mergeCell ref="KQS24:KQZ24"/>
    <mergeCell ref="KRA24:KRH24"/>
    <mergeCell ref="KRI24:KRP24"/>
    <mergeCell ref="KNY24:KOF24"/>
    <mergeCell ref="KOG24:KON24"/>
    <mergeCell ref="KOO24:KOV24"/>
    <mergeCell ref="KOW24:KPD24"/>
    <mergeCell ref="KPE24:KPL24"/>
    <mergeCell ref="KPM24:KPT24"/>
    <mergeCell ref="KMC24:KMJ24"/>
    <mergeCell ref="KMK24:KMR24"/>
    <mergeCell ref="KMS24:KMZ24"/>
    <mergeCell ref="KNA24:KNH24"/>
    <mergeCell ref="KNI24:KNP24"/>
    <mergeCell ref="KNQ24:KNX24"/>
    <mergeCell ref="KKG24:KKN24"/>
    <mergeCell ref="KKO24:KKV24"/>
    <mergeCell ref="KKW24:KLD24"/>
    <mergeCell ref="KLE24:KLL24"/>
    <mergeCell ref="KLM24:KLT24"/>
    <mergeCell ref="KLU24:KMB24"/>
    <mergeCell ref="KIK24:KIR24"/>
    <mergeCell ref="KIS24:KIZ24"/>
    <mergeCell ref="KJA24:KJH24"/>
    <mergeCell ref="KJI24:KJP24"/>
    <mergeCell ref="KJQ24:KJX24"/>
    <mergeCell ref="KJY24:KKF24"/>
    <mergeCell ref="KGO24:KGV24"/>
    <mergeCell ref="KGW24:KHD24"/>
    <mergeCell ref="KHE24:KHL24"/>
    <mergeCell ref="KHM24:KHT24"/>
    <mergeCell ref="KHU24:KIB24"/>
    <mergeCell ref="KIC24:KIJ24"/>
    <mergeCell ref="KES24:KEZ24"/>
    <mergeCell ref="KFA24:KFH24"/>
    <mergeCell ref="KFI24:KFP24"/>
    <mergeCell ref="KFQ24:KFX24"/>
    <mergeCell ref="KFY24:KGF24"/>
    <mergeCell ref="KGG24:KGN24"/>
    <mergeCell ref="KCW24:KDD24"/>
    <mergeCell ref="KDE24:KDL24"/>
    <mergeCell ref="KDM24:KDT24"/>
    <mergeCell ref="KDU24:KEB24"/>
    <mergeCell ref="KEC24:KEJ24"/>
    <mergeCell ref="KEK24:KER24"/>
    <mergeCell ref="KBA24:KBH24"/>
    <mergeCell ref="KBI24:KBP24"/>
    <mergeCell ref="KBQ24:KBX24"/>
    <mergeCell ref="KBY24:KCF24"/>
    <mergeCell ref="KCG24:KCN24"/>
    <mergeCell ref="KCO24:KCV24"/>
    <mergeCell ref="JZE24:JZL24"/>
    <mergeCell ref="JZM24:JZT24"/>
    <mergeCell ref="JZU24:KAB24"/>
    <mergeCell ref="KAC24:KAJ24"/>
    <mergeCell ref="KAK24:KAR24"/>
    <mergeCell ref="KAS24:KAZ24"/>
    <mergeCell ref="JXI24:JXP24"/>
    <mergeCell ref="JXQ24:JXX24"/>
    <mergeCell ref="JXY24:JYF24"/>
    <mergeCell ref="JYG24:JYN24"/>
    <mergeCell ref="JYO24:JYV24"/>
    <mergeCell ref="JYW24:JZD24"/>
    <mergeCell ref="JVM24:JVT24"/>
    <mergeCell ref="JVU24:JWB24"/>
    <mergeCell ref="JWC24:JWJ24"/>
    <mergeCell ref="JWK24:JWR24"/>
    <mergeCell ref="JWS24:JWZ24"/>
    <mergeCell ref="JXA24:JXH24"/>
    <mergeCell ref="JTQ24:JTX24"/>
    <mergeCell ref="JTY24:JUF24"/>
    <mergeCell ref="JUG24:JUN24"/>
    <mergeCell ref="JUO24:JUV24"/>
    <mergeCell ref="JUW24:JVD24"/>
    <mergeCell ref="JVE24:JVL24"/>
    <mergeCell ref="JRU24:JSB24"/>
    <mergeCell ref="JSC24:JSJ24"/>
    <mergeCell ref="JSK24:JSR24"/>
    <mergeCell ref="JSS24:JSZ24"/>
    <mergeCell ref="JTA24:JTH24"/>
    <mergeCell ref="JTI24:JTP24"/>
    <mergeCell ref="JPY24:JQF24"/>
    <mergeCell ref="JQG24:JQN24"/>
    <mergeCell ref="JQO24:JQV24"/>
    <mergeCell ref="JQW24:JRD24"/>
    <mergeCell ref="JRE24:JRL24"/>
    <mergeCell ref="JRM24:JRT24"/>
    <mergeCell ref="JOC24:JOJ24"/>
    <mergeCell ref="JOK24:JOR24"/>
    <mergeCell ref="JOS24:JOZ24"/>
    <mergeCell ref="JPA24:JPH24"/>
    <mergeCell ref="JPI24:JPP24"/>
    <mergeCell ref="JPQ24:JPX24"/>
    <mergeCell ref="JMG24:JMN24"/>
    <mergeCell ref="JMO24:JMV24"/>
    <mergeCell ref="JMW24:JND24"/>
    <mergeCell ref="JNE24:JNL24"/>
    <mergeCell ref="JNM24:JNT24"/>
    <mergeCell ref="JNU24:JOB24"/>
    <mergeCell ref="JKK24:JKR24"/>
    <mergeCell ref="JKS24:JKZ24"/>
    <mergeCell ref="JLA24:JLH24"/>
    <mergeCell ref="JLI24:JLP24"/>
    <mergeCell ref="JLQ24:JLX24"/>
    <mergeCell ref="JLY24:JMF24"/>
    <mergeCell ref="JIO24:JIV24"/>
    <mergeCell ref="JIW24:JJD24"/>
    <mergeCell ref="JJE24:JJL24"/>
    <mergeCell ref="JJM24:JJT24"/>
    <mergeCell ref="JJU24:JKB24"/>
    <mergeCell ref="JKC24:JKJ24"/>
    <mergeCell ref="JGS24:JGZ24"/>
    <mergeCell ref="JHA24:JHH24"/>
    <mergeCell ref="JHI24:JHP24"/>
    <mergeCell ref="JHQ24:JHX24"/>
    <mergeCell ref="JHY24:JIF24"/>
    <mergeCell ref="JIG24:JIN24"/>
    <mergeCell ref="JEW24:JFD24"/>
    <mergeCell ref="JFE24:JFL24"/>
    <mergeCell ref="JFM24:JFT24"/>
    <mergeCell ref="JFU24:JGB24"/>
    <mergeCell ref="JGC24:JGJ24"/>
    <mergeCell ref="JGK24:JGR24"/>
    <mergeCell ref="JDA24:JDH24"/>
    <mergeCell ref="JDI24:JDP24"/>
    <mergeCell ref="JDQ24:JDX24"/>
    <mergeCell ref="JDY24:JEF24"/>
    <mergeCell ref="JEG24:JEN24"/>
    <mergeCell ref="JEO24:JEV24"/>
    <mergeCell ref="JBE24:JBL24"/>
    <mergeCell ref="JBM24:JBT24"/>
    <mergeCell ref="JBU24:JCB24"/>
    <mergeCell ref="JCC24:JCJ24"/>
    <mergeCell ref="JCK24:JCR24"/>
    <mergeCell ref="JCS24:JCZ24"/>
    <mergeCell ref="IZI24:IZP24"/>
    <mergeCell ref="IZQ24:IZX24"/>
    <mergeCell ref="IZY24:JAF24"/>
    <mergeCell ref="JAG24:JAN24"/>
    <mergeCell ref="JAO24:JAV24"/>
    <mergeCell ref="JAW24:JBD24"/>
    <mergeCell ref="IXM24:IXT24"/>
    <mergeCell ref="IXU24:IYB24"/>
    <mergeCell ref="IYC24:IYJ24"/>
    <mergeCell ref="IYK24:IYR24"/>
    <mergeCell ref="IYS24:IYZ24"/>
    <mergeCell ref="IZA24:IZH24"/>
    <mergeCell ref="IVQ24:IVX24"/>
    <mergeCell ref="IVY24:IWF24"/>
    <mergeCell ref="IWG24:IWN24"/>
    <mergeCell ref="IWO24:IWV24"/>
    <mergeCell ref="IWW24:IXD24"/>
    <mergeCell ref="IXE24:IXL24"/>
    <mergeCell ref="ITU24:IUB24"/>
    <mergeCell ref="IUC24:IUJ24"/>
    <mergeCell ref="IUK24:IUR24"/>
    <mergeCell ref="IUS24:IUZ24"/>
    <mergeCell ref="IVA24:IVH24"/>
    <mergeCell ref="IVI24:IVP24"/>
    <mergeCell ref="IRY24:ISF24"/>
    <mergeCell ref="ISG24:ISN24"/>
    <mergeCell ref="ISO24:ISV24"/>
    <mergeCell ref="ISW24:ITD24"/>
    <mergeCell ref="ITE24:ITL24"/>
    <mergeCell ref="ITM24:ITT24"/>
    <mergeCell ref="IQC24:IQJ24"/>
    <mergeCell ref="IQK24:IQR24"/>
    <mergeCell ref="IQS24:IQZ24"/>
    <mergeCell ref="IRA24:IRH24"/>
    <mergeCell ref="IRI24:IRP24"/>
    <mergeCell ref="IRQ24:IRX24"/>
    <mergeCell ref="IOG24:ION24"/>
    <mergeCell ref="IOO24:IOV24"/>
    <mergeCell ref="IOW24:IPD24"/>
    <mergeCell ref="IPE24:IPL24"/>
    <mergeCell ref="IPM24:IPT24"/>
    <mergeCell ref="IPU24:IQB24"/>
    <mergeCell ref="IMK24:IMR24"/>
    <mergeCell ref="IMS24:IMZ24"/>
    <mergeCell ref="INA24:INH24"/>
    <mergeCell ref="INI24:INP24"/>
    <mergeCell ref="INQ24:INX24"/>
    <mergeCell ref="INY24:IOF24"/>
    <mergeCell ref="IKO24:IKV24"/>
    <mergeCell ref="IKW24:ILD24"/>
    <mergeCell ref="ILE24:ILL24"/>
    <mergeCell ref="ILM24:ILT24"/>
    <mergeCell ref="ILU24:IMB24"/>
    <mergeCell ref="IMC24:IMJ24"/>
    <mergeCell ref="IIS24:IIZ24"/>
    <mergeCell ref="IJA24:IJH24"/>
    <mergeCell ref="IJI24:IJP24"/>
    <mergeCell ref="IJQ24:IJX24"/>
    <mergeCell ref="IJY24:IKF24"/>
    <mergeCell ref="IKG24:IKN24"/>
    <mergeCell ref="IGW24:IHD24"/>
    <mergeCell ref="IHE24:IHL24"/>
    <mergeCell ref="IHM24:IHT24"/>
    <mergeCell ref="IHU24:IIB24"/>
    <mergeCell ref="IIC24:IIJ24"/>
    <mergeCell ref="IIK24:IIR24"/>
    <mergeCell ref="IFA24:IFH24"/>
    <mergeCell ref="IFI24:IFP24"/>
    <mergeCell ref="IFQ24:IFX24"/>
    <mergeCell ref="IFY24:IGF24"/>
    <mergeCell ref="IGG24:IGN24"/>
    <mergeCell ref="IGO24:IGV24"/>
    <mergeCell ref="IDE24:IDL24"/>
    <mergeCell ref="IDM24:IDT24"/>
    <mergeCell ref="IDU24:IEB24"/>
    <mergeCell ref="IEC24:IEJ24"/>
    <mergeCell ref="IEK24:IER24"/>
    <mergeCell ref="IES24:IEZ24"/>
    <mergeCell ref="IBI24:IBP24"/>
    <mergeCell ref="IBQ24:IBX24"/>
    <mergeCell ref="IBY24:ICF24"/>
    <mergeCell ref="ICG24:ICN24"/>
    <mergeCell ref="ICO24:ICV24"/>
    <mergeCell ref="ICW24:IDD24"/>
    <mergeCell ref="HZM24:HZT24"/>
    <mergeCell ref="HZU24:IAB24"/>
    <mergeCell ref="IAC24:IAJ24"/>
    <mergeCell ref="IAK24:IAR24"/>
    <mergeCell ref="IAS24:IAZ24"/>
    <mergeCell ref="IBA24:IBH24"/>
    <mergeCell ref="HXQ24:HXX24"/>
    <mergeCell ref="HXY24:HYF24"/>
    <mergeCell ref="HYG24:HYN24"/>
    <mergeCell ref="HYO24:HYV24"/>
    <mergeCell ref="HYW24:HZD24"/>
    <mergeCell ref="HZE24:HZL24"/>
    <mergeCell ref="HVU24:HWB24"/>
    <mergeCell ref="HWC24:HWJ24"/>
    <mergeCell ref="HWK24:HWR24"/>
    <mergeCell ref="HWS24:HWZ24"/>
    <mergeCell ref="HXA24:HXH24"/>
    <mergeCell ref="HXI24:HXP24"/>
    <mergeCell ref="HTY24:HUF24"/>
    <mergeCell ref="HUG24:HUN24"/>
    <mergeCell ref="HUO24:HUV24"/>
    <mergeCell ref="HUW24:HVD24"/>
    <mergeCell ref="HVE24:HVL24"/>
    <mergeCell ref="HVM24:HVT24"/>
    <mergeCell ref="HSC24:HSJ24"/>
    <mergeCell ref="HSK24:HSR24"/>
    <mergeCell ref="HSS24:HSZ24"/>
    <mergeCell ref="HTA24:HTH24"/>
    <mergeCell ref="HTI24:HTP24"/>
    <mergeCell ref="HTQ24:HTX24"/>
    <mergeCell ref="HQG24:HQN24"/>
    <mergeCell ref="HQO24:HQV24"/>
    <mergeCell ref="HQW24:HRD24"/>
    <mergeCell ref="HRE24:HRL24"/>
    <mergeCell ref="HRM24:HRT24"/>
    <mergeCell ref="HRU24:HSB24"/>
    <mergeCell ref="HOK24:HOR24"/>
    <mergeCell ref="HOS24:HOZ24"/>
    <mergeCell ref="HPA24:HPH24"/>
    <mergeCell ref="HPI24:HPP24"/>
    <mergeCell ref="HPQ24:HPX24"/>
    <mergeCell ref="HPY24:HQF24"/>
    <mergeCell ref="HMO24:HMV24"/>
    <mergeCell ref="HMW24:HND24"/>
    <mergeCell ref="HNE24:HNL24"/>
    <mergeCell ref="HNM24:HNT24"/>
    <mergeCell ref="HNU24:HOB24"/>
    <mergeCell ref="HOC24:HOJ24"/>
    <mergeCell ref="HKS24:HKZ24"/>
    <mergeCell ref="HLA24:HLH24"/>
    <mergeCell ref="HLI24:HLP24"/>
    <mergeCell ref="HLQ24:HLX24"/>
    <mergeCell ref="HLY24:HMF24"/>
    <mergeCell ref="HMG24:HMN24"/>
    <mergeCell ref="HIW24:HJD24"/>
    <mergeCell ref="HJE24:HJL24"/>
    <mergeCell ref="HJM24:HJT24"/>
    <mergeCell ref="HJU24:HKB24"/>
    <mergeCell ref="HKC24:HKJ24"/>
    <mergeCell ref="HKK24:HKR24"/>
    <mergeCell ref="HHA24:HHH24"/>
    <mergeCell ref="HHI24:HHP24"/>
    <mergeCell ref="HHQ24:HHX24"/>
    <mergeCell ref="HHY24:HIF24"/>
    <mergeCell ref="HIG24:HIN24"/>
    <mergeCell ref="HIO24:HIV24"/>
    <mergeCell ref="HFE24:HFL24"/>
    <mergeCell ref="HFM24:HFT24"/>
    <mergeCell ref="HFU24:HGB24"/>
    <mergeCell ref="HGC24:HGJ24"/>
    <mergeCell ref="HGK24:HGR24"/>
    <mergeCell ref="HGS24:HGZ24"/>
    <mergeCell ref="HDI24:HDP24"/>
    <mergeCell ref="HDQ24:HDX24"/>
    <mergeCell ref="HDY24:HEF24"/>
    <mergeCell ref="HEG24:HEN24"/>
    <mergeCell ref="HEO24:HEV24"/>
    <mergeCell ref="HEW24:HFD24"/>
    <mergeCell ref="HBM24:HBT24"/>
    <mergeCell ref="HBU24:HCB24"/>
    <mergeCell ref="HCC24:HCJ24"/>
    <mergeCell ref="HCK24:HCR24"/>
    <mergeCell ref="HCS24:HCZ24"/>
    <mergeCell ref="HDA24:HDH24"/>
    <mergeCell ref="GZQ24:GZX24"/>
    <mergeCell ref="GZY24:HAF24"/>
    <mergeCell ref="HAG24:HAN24"/>
    <mergeCell ref="HAO24:HAV24"/>
    <mergeCell ref="HAW24:HBD24"/>
    <mergeCell ref="HBE24:HBL24"/>
    <mergeCell ref="GXU24:GYB24"/>
    <mergeCell ref="GYC24:GYJ24"/>
    <mergeCell ref="GYK24:GYR24"/>
    <mergeCell ref="GYS24:GYZ24"/>
    <mergeCell ref="GZA24:GZH24"/>
    <mergeCell ref="GZI24:GZP24"/>
    <mergeCell ref="GVY24:GWF24"/>
    <mergeCell ref="GWG24:GWN24"/>
    <mergeCell ref="GWO24:GWV24"/>
    <mergeCell ref="GWW24:GXD24"/>
    <mergeCell ref="GXE24:GXL24"/>
    <mergeCell ref="GXM24:GXT24"/>
    <mergeCell ref="GUC24:GUJ24"/>
    <mergeCell ref="GUK24:GUR24"/>
    <mergeCell ref="GUS24:GUZ24"/>
    <mergeCell ref="GVA24:GVH24"/>
    <mergeCell ref="GVI24:GVP24"/>
    <mergeCell ref="GVQ24:GVX24"/>
    <mergeCell ref="GSG24:GSN24"/>
    <mergeCell ref="GSO24:GSV24"/>
    <mergeCell ref="GSW24:GTD24"/>
    <mergeCell ref="GTE24:GTL24"/>
    <mergeCell ref="GTM24:GTT24"/>
    <mergeCell ref="GTU24:GUB24"/>
    <mergeCell ref="GQK24:GQR24"/>
    <mergeCell ref="GQS24:GQZ24"/>
    <mergeCell ref="GRA24:GRH24"/>
    <mergeCell ref="GRI24:GRP24"/>
    <mergeCell ref="GRQ24:GRX24"/>
    <mergeCell ref="GRY24:GSF24"/>
    <mergeCell ref="GOO24:GOV24"/>
    <mergeCell ref="GOW24:GPD24"/>
    <mergeCell ref="GPE24:GPL24"/>
    <mergeCell ref="GPM24:GPT24"/>
    <mergeCell ref="GPU24:GQB24"/>
    <mergeCell ref="GQC24:GQJ24"/>
    <mergeCell ref="GMS24:GMZ24"/>
    <mergeCell ref="GNA24:GNH24"/>
    <mergeCell ref="GNI24:GNP24"/>
    <mergeCell ref="GNQ24:GNX24"/>
    <mergeCell ref="GNY24:GOF24"/>
    <mergeCell ref="GOG24:GON24"/>
    <mergeCell ref="GKW24:GLD24"/>
    <mergeCell ref="GLE24:GLL24"/>
    <mergeCell ref="GLM24:GLT24"/>
    <mergeCell ref="GLU24:GMB24"/>
    <mergeCell ref="GMC24:GMJ24"/>
    <mergeCell ref="GMK24:GMR24"/>
    <mergeCell ref="GJA24:GJH24"/>
    <mergeCell ref="GJI24:GJP24"/>
    <mergeCell ref="GJQ24:GJX24"/>
    <mergeCell ref="GJY24:GKF24"/>
    <mergeCell ref="GKG24:GKN24"/>
    <mergeCell ref="GKO24:GKV24"/>
    <mergeCell ref="GHE24:GHL24"/>
    <mergeCell ref="GHM24:GHT24"/>
    <mergeCell ref="GHU24:GIB24"/>
    <mergeCell ref="GIC24:GIJ24"/>
    <mergeCell ref="GIK24:GIR24"/>
    <mergeCell ref="GIS24:GIZ24"/>
    <mergeCell ref="GFI24:GFP24"/>
    <mergeCell ref="GFQ24:GFX24"/>
    <mergeCell ref="GFY24:GGF24"/>
    <mergeCell ref="GGG24:GGN24"/>
    <mergeCell ref="GGO24:GGV24"/>
    <mergeCell ref="GGW24:GHD24"/>
    <mergeCell ref="GDM24:GDT24"/>
    <mergeCell ref="GDU24:GEB24"/>
    <mergeCell ref="GEC24:GEJ24"/>
    <mergeCell ref="GEK24:GER24"/>
    <mergeCell ref="GES24:GEZ24"/>
    <mergeCell ref="GFA24:GFH24"/>
    <mergeCell ref="GBQ24:GBX24"/>
    <mergeCell ref="GBY24:GCF24"/>
    <mergeCell ref="GCG24:GCN24"/>
    <mergeCell ref="GCO24:GCV24"/>
    <mergeCell ref="GCW24:GDD24"/>
    <mergeCell ref="GDE24:GDL24"/>
    <mergeCell ref="FZU24:GAB24"/>
    <mergeCell ref="GAC24:GAJ24"/>
    <mergeCell ref="GAK24:GAR24"/>
    <mergeCell ref="GAS24:GAZ24"/>
    <mergeCell ref="GBA24:GBH24"/>
    <mergeCell ref="GBI24:GBP24"/>
    <mergeCell ref="FXY24:FYF24"/>
    <mergeCell ref="FYG24:FYN24"/>
    <mergeCell ref="FYO24:FYV24"/>
    <mergeCell ref="FYW24:FZD24"/>
    <mergeCell ref="FZE24:FZL24"/>
    <mergeCell ref="FZM24:FZT24"/>
    <mergeCell ref="FWC24:FWJ24"/>
    <mergeCell ref="FWK24:FWR24"/>
    <mergeCell ref="FWS24:FWZ24"/>
    <mergeCell ref="FXA24:FXH24"/>
    <mergeCell ref="FXI24:FXP24"/>
    <mergeCell ref="FXQ24:FXX24"/>
    <mergeCell ref="FUG24:FUN24"/>
    <mergeCell ref="FUO24:FUV24"/>
    <mergeCell ref="FUW24:FVD24"/>
    <mergeCell ref="FVE24:FVL24"/>
    <mergeCell ref="FVM24:FVT24"/>
    <mergeCell ref="FVU24:FWB24"/>
    <mergeCell ref="FSK24:FSR24"/>
    <mergeCell ref="FSS24:FSZ24"/>
    <mergeCell ref="FTA24:FTH24"/>
    <mergeCell ref="FTI24:FTP24"/>
    <mergeCell ref="FTQ24:FTX24"/>
    <mergeCell ref="FTY24:FUF24"/>
    <mergeCell ref="FQO24:FQV24"/>
    <mergeCell ref="FQW24:FRD24"/>
    <mergeCell ref="FRE24:FRL24"/>
    <mergeCell ref="FRM24:FRT24"/>
    <mergeCell ref="FRU24:FSB24"/>
    <mergeCell ref="FSC24:FSJ24"/>
    <mergeCell ref="FOS24:FOZ24"/>
    <mergeCell ref="FPA24:FPH24"/>
    <mergeCell ref="FPI24:FPP24"/>
    <mergeCell ref="FPQ24:FPX24"/>
    <mergeCell ref="FPY24:FQF24"/>
    <mergeCell ref="FQG24:FQN24"/>
    <mergeCell ref="FMW24:FND24"/>
    <mergeCell ref="FNE24:FNL24"/>
    <mergeCell ref="FNM24:FNT24"/>
    <mergeCell ref="FNU24:FOB24"/>
    <mergeCell ref="FOC24:FOJ24"/>
    <mergeCell ref="FOK24:FOR24"/>
    <mergeCell ref="FLA24:FLH24"/>
    <mergeCell ref="FLI24:FLP24"/>
    <mergeCell ref="FLQ24:FLX24"/>
    <mergeCell ref="FLY24:FMF24"/>
    <mergeCell ref="FMG24:FMN24"/>
    <mergeCell ref="FMO24:FMV24"/>
    <mergeCell ref="FJE24:FJL24"/>
    <mergeCell ref="FJM24:FJT24"/>
    <mergeCell ref="FJU24:FKB24"/>
    <mergeCell ref="FKC24:FKJ24"/>
    <mergeCell ref="FKK24:FKR24"/>
    <mergeCell ref="FKS24:FKZ24"/>
    <mergeCell ref="FHI24:FHP24"/>
    <mergeCell ref="FHQ24:FHX24"/>
    <mergeCell ref="FHY24:FIF24"/>
    <mergeCell ref="FIG24:FIN24"/>
    <mergeCell ref="FIO24:FIV24"/>
    <mergeCell ref="FIW24:FJD24"/>
    <mergeCell ref="FFM24:FFT24"/>
    <mergeCell ref="FFU24:FGB24"/>
    <mergeCell ref="FGC24:FGJ24"/>
    <mergeCell ref="FGK24:FGR24"/>
    <mergeCell ref="FGS24:FGZ24"/>
    <mergeCell ref="FHA24:FHH24"/>
    <mergeCell ref="FDQ24:FDX24"/>
    <mergeCell ref="FDY24:FEF24"/>
    <mergeCell ref="FEG24:FEN24"/>
    <mergeCell ref="FEO24:FEV24"/>
    <mergeCell ref="FEW24:FFD24"/>
    <mergeCell ref="FFE24:FFL24"/>
    <mergeCell ref="FBU24:FCB24"/>
    <mergeCell ref="FCC24:FCJ24"/>
    <mergeCell ref="FCK24:FCR24"/>
    <mergeCell ref="FCS24:FCZ24"/>
    <mergeCell ref="FDA24:FDH24"/>
    <mergeCell ref="FDI24:FDP24"/>
    <mergeCell ref="EZY24:FAF24"/>
    <mergeCell ref="FAG24:FAN24"/>
    <mergeCell ref="FAO24:FAV24"/>
    <mergeCell ref="FAW24:FBD24"/>
    <mergeCell ref="FBE24:FBL24"/>
    <mergeCell ref="FBM24:FBT24"/>
    <mergeCell ref="EYC24:EYJ24"/>
    <mergeCell ref="EYK24:EYR24"/>
    <mergeCell ref="EYS24:EYZ24"/>
    <mergeCell ref="EZA24:EZH24"/>
    <mergeCell ref="EZI24:EZP24"/>
    <mergeCell ref="EZQ24:EZX24"/>
    <mergeCell ref="EWG24:EWN24"/>
    <mergeCell ref="EWO24:EWV24"/>
    <mergeCell ref="EWW24:EXD24"/>
    <mergeCell ref="EXE24:EXL24"/>
    <mergeCell ref="EXM24:EXT24"/>
    <mergeCell ref="EXU24:EYB24"/>
    <mergeCell ref="EUK24:EUR24"/>
    <mergeCell ref="EUS24:EUZ24"/>
    <mergeCell ref="EVA24:EVH24"/>
    <mergeCell ref="EVI24:EVP24"/>
    <mergeCell ref="EVQ24:EVX24"/>
    <mergeCell ref="EVY24:EWF24"/>
    <mergeCell ref="ESO24:ESV24"/>
    <mergeCell ref="ESW24:ETD24"/>
    <mergeCell ref="ETE24:ETL24"/>
    <mergeCell ref="ETM24:ETT24"/>
    <mergeCell ref="ETU24:EUB24"/>
    <mergeCell ref="EUC24:EUJ24"/>
    <mergeCell ref="EQS24:EQZ24"/>
    <mergeCell ref="ERA24:ERH24"/>
    <mergeCell ref="ERI24:ERP24"/>
    <mergeCell ref="ERQ24:ERX24"/>
    <mergeCell ref="ERY24:ESF24"/>
    <mergeCell ref="ESG24:ESN24"/>
    <mergeCell ref="EOW24:EPD24"/>
    <mergeCell ref="EPE24:EPL24"/>
    <mergeCell ref="EPM24:EPT24"/>
    <mergeCell ref="EPU24:EQB24"/>
    <mergeCell ref="EQC24:EQJ24"/>
    <mergeCell ref="EQK24:EQR24"/>
    <mergeCell ref="ENA24:ENH24"/>
    <mergeCell ref="ENI24:ENP24"/>
    <mergeCell ref="ENQ24:ENX24"/>
    <mergeCell ref="ENY24:EOF24"/>
    <mergeCell ref="EOG24:EON24"/>
    <mergeCell ref="EOO24:EOV24"/>
    <mergeCell ref="ELE24:ELL24"/>
    <mergeCell ref="ELM24:ELT24"/>
    <mergeCell ref="ELU24:EMB24"/>
    <mergeCell ref="EMC24:EMJ24"/>
    <mergeCell ref="EMK24:EMR24"/>
    <mergeCell ref="EMS24:EMZ24"/>
    <mergeCell ref="EJI24:EJP24"/>
    <mergeCell ref="EJQ24:EJX24"/>
    <mergeCell ref="EJY24:EKF24"/>
    <mergeCell ref="EKG24:EKN24"/>
    <mergeCell ref="EKO24:EKV24"/>
    <mergeCell ref="EKW24:ELD24"/>
    <mergeCell ref="EHM24:EHT24"/>
    <mergeCell ref="EHU24:EIB24"/>
    <mergeCell ref="EIC24:EIJ24"/>
    <mergeCell ref="EIK24:EIR24"/>
    <mergeCell ref="EIS24:EIZ24"/>
    <mergeCell ref="EJA24:EJH24"/>
    <mergeCell ref="EFQ24:EFX24"/>
    <mergeCell ref="EFY24:EGF24"/>
    <mergeCell ref="EGG24:EGN24"/>
    <mergeCell ref="EGO24:EGV24"/>
    <mergeCell ref="EGW24:EHD24"/>
    <mergeCell ref="EHE24:EHL24"/>
    <mergeCell ref="EDU24:EEB24"/>
    <mergeCell ref="EEC24:EEJ24"/>
    <mergeCell ref="EEK24:EER24"/>
    <mergeCell ref="EES24:EEZ24"/>
    <mergeCell ref="EFA24:EFH24"/>
    <mergeCell ref="EFI24:EFP24"/>
    <mergeCell ref="EBY24:ECF24"/>
    <mergeCell ref="ECG24:ECN24"/>
    <mergeCell ref="ECO24:ECV24"/>
    <mergeCell ref="ECW24:EDD24"/>
    <mergeCell ref="EDE24:EDL24"/>
    <mergeCell ref="EDM24:EDT24"/>
    <mergeCell ref="EAC24:EAJ24"/>
    <mergeCell ref="EAK24:EAR24"/>
    <mergeCell ref="EAS24:EAZ24"/>
    <mergeCell ref="EBA24:EBH24"/>
    <mergeCell ref="EBI24:EBP24"/>
    <mergeCell ref="EBQ24:EBX24"/>
    <mergeCell ref="DYG24:DYN24"/>
    <mergeCell ref="DYO24:DYV24"/>
    <mergeCell ref="DYW24:DZD24"/>
    <mergeCell ref="DZE24:DZL24"/>
    <mergeCell ref="DZM24:DZT24"/>
    <mergeCell ref="DZU24:EAB24"/>
    <mergeCell ref="DWK24:DWR24"/>
    <mergeCell ref="DWS24:DWZ24"/>
    <mergeCell ref="DXA24:DXH24"/>
    <mergeCell ref="DXI24:DXP24"/>
    <mergeCell ref="DXQ24:DXX24"/>
    <mergeCell ref="DXY24:DYF24"/>
    <mergeCell ref="DUO24:DUV24"/>
    <mergeCell ref="DUW24:DVD24"/>
    <mergeCell ref="DVE24:DVL24"/>
    <mergeCell ref="DVM24:DVT24"/>
    <mergeCell ref="DVU24:DWB24"/>
    <mergeCell ref="DWC24:DWJ24"/>
    <mergeCell ref="DSS24:DSZ24"/>
    <mergeCell ref="DTA24:DTH24"/>
    <mergeCell ref="DTI24:DTP24"/>
    <mergeCell ref="DTQ24:DTX24"/>
    <mergeCell ref="DTY24:DUF24"/>
    <mergeCell ref="DUG24:DUN24"/>
    <mergeCell ref="DQW24:DRD24"/>
    <mergeCell ref="DRE24:DRL24"/>
    <mergeCell ref="DRM24:DRT24"/>
    <mergeCell ref="DRU24:DSB24"/>
    <mergeCell ref="DSC24:DSJ24"/>
    <mergeCell ref="DSK24:DSR24"/>
    <mergeCell ref="DPA24:DPH24"/>
    <mergeCell ref="DPI24:DPP24"/>
    <mergeCell ref="DPQ24:DPX24"/>
    <mergeCell ref="DPY24:DQF24"/>
    <mergeCell ref="DQG24:DQN24"/>
    <mergeCell ref="DQO24:DQV24"/>
    <mergeCell ref="DNE24:DNL24"/>
    <mergeCell ref="DNM24:DNT24"/>
    <mergeCell ref="DNU24:DOB24"/>
    <mergeCell ref="DOC24:DOJ24"/>
    <mergeCell ref="DOK24:DOR24"/>
    <mergeCell ref="DOS24:DOZ24"/>
    <mergeCell ref="DLI24:DLP24"/>
    <mergeCell ref="DLQ24:DLX24"/>
    <mergeCell ref="DLY24:DMF24"/>
    <mergeCell ref="DMG24:DMN24"/>
    <mergeCell ref="DMO24:DMV24"/>
    <mergeCell ref="DMW24:DND24"/>
    <mergeCell ref="DJM24:DJT24"/>
    <mergeCell ref="DJU24:DKB24"/>
    <mergeCell ref="DKC24:DKJ24"/>
    <mergeCell ref="DKK24:DKR24"/>
    <mergeCell ref="DKS24:DKZ24"/>
    <mergeCell ref="DLA24:DLH24"/>
    <mergeCell ref="DHQ24:DHX24"/>
    <mergeCell ref="DHY24:DIF24"/>
    <mergeCell ref="DIG24:DIN24"/>
    <mergeCell ref="DIO24:DIV24"/>
    <mergeCell ref="DIW24:DJD24"/>
    <mergeCell ref="DJE24:DJL24"/>
    <mergeCell ref="DFU24:DGB24"/>
    <mergeCell ref="DGC24:DGJ24"/>
    <mergeCell ref="DGK24:DGR24"/>
    <mergeCell ref="DGS24:DGZ24"/>
    <mergeCell ref="DHA24:DHH24"/>
    <mergeCell ref="DHI24:DHP24"/>
    <mergeCell ref="DDY24:DEF24"/>
    <mergeCell ref="DEG24:DEN24"/>
    <mergeCell ref="DEO24:DEV24"/>
    <mergeCell ref="DEW24:DFD24"/>
    <mergeCell ref="DFE24:DFL24"/>
    <mergeCell ref="DFM24:DFT24"/>
    <mergeCell ref="DCC24:DCJ24"/>
    <mergeCell ref="DCK24:DCR24"/>
    <mergeCell ref="DCS24:DCZ24"/>
    <mergeCell ref="DDA24:DDH24"/>
    <mergeCell ref="DDI24:DDP24"/>
    <mergeCell ref="DDQ24:DDX24"/>
    <mergeCell ref="DAG24:DAN24"/>
    <mergeCell ref="DAO24:DAV24"/>
    <mergeCell ref="DAW24:DBD24"/>
    <mergeCell ref="DBE24:DBL24"/>
    <mergeCell ref="DBM24:DBT24"/>
    <mergeCell ref="DBU24:DCB24"/>
    <mergeCell ref="CYK24:CYR24"/>
    <mergeCell ref="CYS24:CYZ24"/>
    <mergeCell ref="CZA24:CZH24"/>
    <mergeCell ref="CZI24:CZP24"/>
    <mergeCell ref="CZQ24:CZX24"/>
    <mergeCell ref="CZY24:DAF24"/>
    <mergeCell ref="CWO24:CWV24"/>
    <mergeCell ref="CWW24:CXD24"/>
    <mergeCell ref="CXE24:CXL24"/>
    <mergeCell ref="CXM24:CXT24"/>
    <mergeCell ref="CXU24:CYB24"/>
    <mergeCell ref="CYC24:CYJ24"/>
    <mergeCell ref="CUS24:CUZ24"/>
    <mergeCell ref="CVA24:CVH24"/>
    <mergeCell ref="CVI24:CVP24"/>
    <mergeCell ref="CVQ24:CVX24"/>
    <mergeCell ref="CVY24:CWF24"/>
    <mergeCell ref="CWG24:CWN24"/>
    <mergeCell ref="CSW24:CTD24"/>
    <mergeCell ref="CTE24:CTL24"/>
    <mergeCell ref="CTM24:CTT24"/>
    <mergeCell ref="CTU24:CUB24"/>
    <mergeCell ref="CUC24:CUJ24"/>
    <mergeCell ref="CUK24:CUR24"/>
    <mergeCell ref="CRA24:CRH24"/>
    <mergeCell ref="CRI24:CRP24"/>
    <mergeCell ref="CRQ24:CRX24"/>
    <mergeCell ref="CRY24:CSF24"/>
    <mergeCell ref="CSG24:CSN24"/>
    <mergeCell ref="CSO24:CSV24"/>
    <mergeCell ref="CPE24:CPL24"/>
    <mergeCell ref="CPM24:CPT24"/>
    <mergeCell ref="CPU24:CQB24"/>
    <mergeCell ref="CQC24:CQJ24"/>
    <mergeCell ref="CQK24:CQR24"/>
    <mergeCell ref="CQS24:CQZ24"/>
    <mergeCell ref="CNI24:CNP24"/>
    <mergeCell ref="CNQ24:CNX24"/>
    <mergeCell ref="CNY24:COF24"/>
    <mergeCell ref="COG24:CON24"/>
    <mergeCell ref="COO24:COV24"/>
    <mergeCell ref="COW24:CPD24"/>
    <mergeCell ref="CLM24:CLT24"/>
    <mergeCell ref="CLU24:CMB24"/>
    <mergeCell ref="CMC24:CMJ24"/>
    <mergeCell ref="CMK24:CMR24"/>
    <mergeCell ref="CMS24:CMZ24"/>
    <mergeCell ref="CNA24:CNH24"/>
    <mergeCell ref="CJQ24:CJX24"/>
    <mergeCell ref="CJY24:CKF24"/>
    <mergeCell ref="CKG24:CKN24"/>
    <mergeCell ref="CKO24:CKV24"/>
    <mergeCell ref="CKW24:CLD24"/>
    <mergeCell ref="CLE24:CLL24"/>
    <mergeCell ref="CHU24:CIB24"/>
    <mergeCell ref="CIC24:CIJ24"/>
    <mergeCell ref="CIK24:CIR24"/>
    <mergeCell ref="CIS24:CIZ24"/>
    <mergeCell ref="CJA24:CJH24"/>
    <mergeCell ref="CJI24:CJP24"/>
    <mergeCell ref="CFY24:CGF24"/>
    <mergeCell ref="CGG24:CGN24"/>
    <mergeCell ref="CGO24:CGV24"/>
    <mergeCell ref="CGW24:CHD24"/>
    <mergeCell ref="CHE24:CHL24"/>
    <mergeCell ref="CHM24:CHT24"/>
    <mergeCell ref="CEC24:CEJ24"/>
    <mergeCell ref="CEK24:CER24"/>
    <mergeCell ref="CES24:CEZ24"/>
    <mergeCell ref="CFA24:CFH24"/>
    <mergeCell ref="CFI24:CFP24"/>
    <mergeCell ref="CFQ24:CFX24"/>
    <mergeCell ref="CCG24:CCN24"/>
    <mergeCell ref="CCO24:CCV24"/>
    <mergeCell ref="CCW24:CDD24"/>
    <mergeCell ref="CDE24:CDL24"/>
    <mergeCell ref="CDM24:CDT24"/>
    <mergeCell ref="CDU24:CEB24"/>
    <mergeCell ref="CAK24:CAR24"/>
    <mergeCell ref="CAS24:CAZ24"/>
    <mergeCell ref="CBA24:CBH24"/>
    <mergeCell ref="CBI24:CBP24"/>
    <mergeCell ref="CBQ24:CBX24"/>
    <mergeCell ref="CBY24:CCF24"/>
    <mergeCell ref="BYO24:BYV24"/>
    <mergeCell ref="BYW24:BZD24"/>
    <mergeCell ref="BZE24:BZL24"/>
    <mergeCell ref="BZM24:BZT24"/>
    <mergeCell ref="BZU24:CAB24"/>
    <mergeCell ref="CAC24:CAJ24"/>
    <mergeCell ref="BWS24:BWZ24"/>
    <mergeCell ref="BXA24:BXH24"/>
    <mergeCell ref="BXI24:BXP24"/>
    <mergeCell ref="BXQ24:BXX24"/>
    <mergeCell ref="BXY24:BYF24"/>
    <mergeCell ref="BYG24:BYN24"/>
    <mergeCell ref="BUW24:BVD24"/>
    <mergeCell ref="BVE24:BVL24"/>
    <mergeCell ref="BVM24:BVT24"/>
    <mergeCell ref="BVU24:BWB24"/>
    <mergeCell ref="BWC24:BWJ24"/>
    <mergeCell ref="BWK24:BWR24"/>
    <mergeCell ref="BTA24:BTH24"/>
    <mergeCell ref="BTI24:BTP24"/>
    <mergeCell ref="BTQ24:BTX24"/>
    <mergeCell ref="BTY24:BUF24"/>
    <mergeCell ref="BUG24:BUN24"/>
    <mergeCell ref="BUO24:BUV24"/>
    <mergeCell ref="BRE24:BRL24"/>
    <mergeCell ref="BRM24:BRT24"/>
    <mergeCell ref="BRU24:BSB24"/>
    <mergeCell ref="BSC24:BSJ24"/>
    <mergeCell ref="BSK24:BSR24"/>
    <mergeCell ref="BSS24:BSZ24"/>
    <mergeCell ref="BPI24:BPP24"/>
    <mergeCell ref="BPQ24:BPX24"/>
    <mergeCell ref="BPY24:BQF24"/>
    <mergeCell ref="BQG24:BQN24"/>
    <mergeCell ref="BQO24:BQV24"/>
    <mergeCell ref="BQW24:BRD24"/>
    <mergeCell ref="BNM24:BNT24"/>
    <mergeCell ref="BNU24:BOB24"/>
    <mergeCell ref="BOC24:BOJ24"/>
    <mergeCell ref="BOK24:BOR24"/>
    <mergeCell ref="BOS24:BOZ24"/>
    <mergeCell ref="BPA24:BPH24"/>
    <mergeCell ref="BLQ24:BLX24"/>
    <mergeCell ref="BLY24:BMF24"/>
    <mergeCell ref="BMG24:BMN24"/>
    <mergeCell ref="BMO24:BMV24"/>
    <mergeCell ref="BMW24:BND24"/>
    <mergeCell ref="BNE24:BNL24"/>
    <mergeCell ref="BJU24:BKB24"/>
    <mergeCell ref="BKC24:BKJ24"/>
    <mergeCell ref="BKK24:BKR24"/>
    <mergeCell ref="BKS24:BKZ24"/>
    <mergeCell ref="BLA24:BLH24"/>
    <mergeCell ref="BLI24:BLP24"/>
    <mergeCell ref="BHY24:BIF24"/>
    <mergeCell ref="BIG24:BIN24"/>
    <mergeCell ref="BIO24:BIV24"/>
    <mergeCell ref="BIW24:BJD24"/>
    <mergeCell ref="BJE24:BJL24"/>
    <mergeCell ref="BJM24:BJT24"/>
    <mergeCell ref="BGC24:BGJ24"/>
    <mergeCell ref="BGK24:BGR24"/>
    <mergeCell ref="BGS24:BGZ24"/>
    <mergeCell ref="BHA24:BHH24"/>
    <mergeCell ref="BHI24:BHP24"/>
    <mergeCell ref="BHQ24:BHX24"/>
    <mergeCell ref="BEG24:BEN24"/>
    <mergeCell ref="BEO24:BEV24"/>
    <mergeCell ref="BEW24:BFD24"/>
    <mergeCell ref="BFE24:BFL24"/>
    <mergeCell ref="BFM24:BFT24"/>
    <mergeCell ref="BFU24:BGB24"/>
    <mergeCell ref="BCK24:BCR24"/>
    <mergeCell ref="BCS24:BCZ24"/>
    <mergeCell ref="BDA24:BDH24"/>
    <mergeCell ref="BDI24:BDP24"/>
    <mergeCell ref="BDQ24:BDX24"/>
    <mergeCell ref="BDY24:BEF24"/>
    <mergeCell ref="BAO24:BAV24"/>
    <mergeCell ref="BAW24:BBD24"/>
    <mergeCell ref="BBE24:BBL24"/>
    <mergeCell ref="BBM24:BBT24"/>
    <mergeCell ref="BBU24:BCB24"/>
    <mergeCell ref="BCC24:BCJ24"/>
    <mergeCell ref="AYS24:AYZ24"/>
    <mergeCell ref="AZA24:AZH24"/>
    <mergeCell ref="AZI24:AZP24"/>
    <mergeCell ref="AZQ24:AZX24"/>
    <mergeCell ref="AZY24:BAF24"/>
    <mergeCell ref="BAG24:BAN24"/>
    <mergeCell ref="AWW24:AXD24"/>
    <mergeCell ref="AXE24:AXL24"/>
    <mergeCell ref="AXM24:AXT24"/>
    <mergeCell ref="AXU24:AYB24"/>
    <mergeCell ref="AYC24:AYJ24"/>
    <mergeCell ref="AYK24:AYR24"/>
    <mergeCell ref="AVA24:AVH24"/>
    <mergeCell ref="AVI24:AVP24"/>
    <mergeCell ref="AVQ24:AVX24"/>
    <mergeCell ref="AVY24:AWF24"/>
    <mergeCell ref="AWG24:AWN24"/>
    <mergeCell ref="AWO24:AWV24"/>
    <mergeCell ref="ATE24:ATL24"/>
    <mergeCell ref="ATM24:ATT24"/>
    <mergeCell ref="ATU24:AUB24"/>
    <mergeCell ref="AUC24:AUJ24"/>
    <mergeCell ref="AUK24:AUR24"/>
    <mergeCell ref="AUS24:AUZ24"/>
    <mergeCell ref="ARI24:ARP24"/>
    <mergeCell ref="ARQ24:ARX24"/>
    <mergeCell ref="ARY24:ASF24"/>
    <mergeCell ref="ASG24:ASN24"/>
    <mergeCell ref="ASO24:ASV24"/>
    <mergeCell ref="ASW24:ATD24"/>
    <mergeCell ref="APM24:APT24"/>
    <mergeCell ref="APU24:AQB24"/>
    <mergeCell ref="AQC24:AQJ24"/>
    <mergeCell ref="AQK24:AQR24"/>
    <mergeCell ref="AQS24:AQZ24"/>
    <mergeCell ref="ARA24:ARH24"/>
    <mergeCell ref="ANQ24:ANX24"/>
    <mergeCell ref="ANY24:AOF24"/>
    <mergeCell ref="AOG24:AON24"/>
    <mergeCell ref="AOO24:AOV24"/>
    <mergeCell ref="AOW24:APD24"/>
    <mergeCell ref="APE24:APL24"/>
    <mergeCell ref="ALU24:AMB24"/>
    <mergeCell ref="AMC24:AMJ24"/>
    <mergeCell ref="AMK24:AMR24"/>
    <mergeCell ref="AMS24:AMZ24"/>
    <mergeCell ref="ANA24:ANH24"/>
    <mergeCell ref="ANI24:ANP24"/>
    <mergeCell ref="AJY24:AKF24"/>
    <mergeCell ref="AKG24:AKN24"/>
    <mergeCell ref="AKO24:AKV24"/>
    <mergeCell ref="AKW24:ALD24"/>
    <mergeCell ref="ALE24:ALL24"/>
    <mergeCell ref="ALM24:ALT24"/>
    <mergeCell ref="AIC24:AIJ24"/>
    <mergeCell ref="AIK24:AIR24"/>
    <mergeCell ref="AIS24:AIZ24"/>
    <mergeCell ref="AJA24:AJH24"/>
    <mergeCell ref="AJI24:AJP24"/>
    <mergeCell ref="AJQ24:AJX24"/>
    <mergeCell ref="AGG24:AGN24"/>
    <mergeCell ref="AGO24:AGV24"/>
    <mergeCell ref="AGW24:AHD24"/>
    <mergeCell ref="AHE24:AHL24"/>
    <mergeCell ref="AHM24:AHT24"/>
    <mergeCell ref="AHU24:AIB24"/>
    <mergeCell ref="AEK24:AER24"/>
    <mergeCell ref="AES24:AEZ24"/>
    <mergeCell ref="AFA24:AFH24"/>
    <mergeCell ref="AFI24:AFP24"/>
    <mergeCell ref="AFQ24:AFX24"/>
    <mergeCell ref="AFY24:AGF24"/>
    <mergeCell ref="ACO24:ACV24"/>
    <mergeCell ref="ACW24:ADD24"/>
    <mergeCell ref="ADE24:ADL24"/>
    <mergeCell ref="ADM24:ADT24"/>
    <mergeCell ref="ADU24:AEB24"/>
    <mergeCell ref="AEC24:AEJ24"/>
    <mergeCell ref="AAS24:AAZ24"/>
    <mergeCell ref="ABA24:ABH24"/>
    <mergeCell ref="ABI24:ABP24"/>
    <mergeCell ref="ABQ24:ABX24"/>
    <mergeCell ref="ABY24:ACF24"/>
    <mergeCell ref="ACG24:ACN24"/>
    <mergeCell ref="YW24:ZD24"/>
    <mergeCell ref="ZE24:ZL24"/>
    <mergeCell ref="ZM24:ZT24"/>
    <mergeCell ref="ZU24:AAB24"/>
    <mergeCell ref="AAC24:AAJ24"/>
    <mergeCell ref="AAK24:AAR24"/>
    <mergeCell ref="XA24:XH24"/>
    <mergeCell ref="XI24:XP24"/>
    <mergeCell ref="XQ24:XX24"/>
    <mergeCell ref="XY24:YF24"/>
    <mergeCell ref="YG24:YN24"/>
    <mergeCell ref="YO24:YV24"/>
    <mergeCell ref="VE24:VL24"/>
    <mergeCell ref="VM24:VT24"/>
    <mergeCell ref="VU24:WB24"/>
    <mergeCell ref="WC24:WJ24"/>
    <mergeCell ref="WK24:WR24"/>
    <mergeCell ref="WS24:WZ24"/>
    <mergeCell ref="TI24:TP24"/>
    <mergeCell ref="TQ24:TX24"/>
    <mergeCell ref="TY24:UF24"/>
    <mergeCell ref="UG24:UN24"/>
    <mergeCell ref="UO24:UV24"/>
    <mergeCell ref="UW24:VD24"/>
    <mergeCell ref="RM24:RT24"/>
    <mergeCell ref="RU24:SB24"/>
    <mergeCell ref="SC24:SJ24"/>
    <mergeCell ref="SK24:SR24"/>
    <mergeCell ref="SS24:SZ24"/>
    <mergeCell ref="TA24:TH24"/>
    <mergeCell ref="PQ24:PX24"/>
    <mergeCell ref="PY24:QF24"/>
    <mergeCell ref="QG24:QN24"/>
    <mergeCell ref="QO24:QV24"/>
    <mergeCell ref="QW24:RD24"/>
    <mergeCell ref="RE24:RL24"/>
    <mergeCell ref="NU24:OB24"/>
    <mergeCell ref="OC24:OJ24"/>
    <mergeCell ref="OK24:OR24"/>
    <mergeCell ref="OS24:OZ24"/>
    <mergeCell ref="PA24:PH24"/>
    <mergeCell ref="PI24:PP24"/>
    <mergeCell ref="LY24:MF24"/>
    <mergeCell ref="MG24:MN24"/>
    <mergeCell ref="MO24:MV24"/>
    <mergeCell ref="MW24:ND24"/>
    <mergeCell ref="NE24:NL24"/>
    <mergeCell ref="NM24:NT24"/>
    <mergeCell ref="KC24:KJ24"/>
    <mergeCell ref="KK24:KR24"/>
    <mergeCell ref="KS24:KZ24"/>
    <mergeCell ref="LA24:LH24"/>
    <mergeCell ref="LI24:LP24"/>
    <mergeCell ref="LQ24:LX24"/>
    <mergeCell ref="IG24:IN24"/>
    <mergeCell ref="IO24:IV24"/>
    <mergeCell ref="IW24:JD24"/>
    <mergeCell ref="JE24:JL24"/>
    <mergeCell ref="JM24:JT24"/>
    <mergeCell ref="JU24:KB24"/>
    <mergeCell ref="GK24:GR24"/>
    <mergeCell ref="GS24:GZ24"/>
    <mergeCell ref="HA24:HH24"/>
    <mergeCell ref="HI24:HP24"/>
    <mergeCell ref="HQ24:HX24"/>
    <mergeCell ref="HY24:IF24"/>
    <mergeCell ref="A24:H24"/>
    <mergeCell ref="I24:P24"/>
    <mergeCell ref="Q24:X24"/>
    <mergeCell ref="Y24:AF24"/>
    <mergeCell ref="AG24:AN24"/>
    <mergeCell ref="AO24:AV24"/>
    <mergeCell ref="A3:H3"/>
    <mergeCell ref="A1:H1"/>
    <mergeCell ref="EO24:EV24"/>
    <mergeCell ref="EW24:FD24"/>
    <mergeCell ref="FE24:FL24"/>
    <mergeCell ref="FM24:FT24"/>
    <mergeCell ref="FU24:GB24"/>
    <mergeCell ref="GC24:GJ24"/>
    <mergeCell ref="CS24:CZ24"/>
    <mergeCell ref="DA24:DH24"/>
    <mergeCell ref="DI24:DP24"/>
    <mergeCell ref="DQ24:DX24"/>
    <mergeCell ref="DY24:EF24"/>
    <mergeCell ref="EG24:EN24"/>
    <mergeCell ref="AW24:BD24"/>
    <mergeCell ref="BE24:BL24"/>
    <mergeCell ref="BM24:BT24"/>
    <mergeCell ref="BU24:CB24"/>
    <mergeCell ref="CC24:CJ24"/>
    <mergeCell ref="CK24:CR24"/>
  </mergeCells>
  <conditionalFormatting sqref="H18">
    <cfRule type="containsText" dxfId="9" priority="6" operator="containsText" text="Favourable (F)">
      <formula>NOT(ISERROR(SEARCH("Favourable (F)",H18)))</formula>
    </cfRule>
    <cfRule type="containsText" dxfId="8" priority="7" operator="containsText" text="Adverse (A)">
      <formula>NOT(ISERROR(SEARCH("Adverse (A)",H18)))</formula>
    </cfRule>
  </conditionalFormatting>
  <conditionalFormatting sqref="H21">
    <cfRule type="containsText" dxfId="7" priority="4" operator="containsText" text="Check Error">
      <formula>NOT(ISERROR(SEARCH("Check Error",H21)))</formula>
    </cfRule>
    <cfRule type="containsText" dxfId="6" priority="5" operator="containsText" text="Pass (Reconciled)">
      <formula>NOT(ISERROR(SEARCH("Pass (Reconciled)",H21)))</formula>
    </cfRule>
  </conditionalFormatting>
  <conditionalFormatting sqref="H26:H30">
    <cfRule type="containsText" dxfId="5" priority="2" operator="containsText" text="CHECK">
      <formula>NOT(ISERROR(SEARCH("CHECK",H26)))</formula>
    </cfRule>
    <cfRule type="containsText" dxfId="4" priority="3" operator="containsText" text="PASS">
      <formula>NOT(ISERROR(SEARCH("PASS",H26)))</formula>
    </cfRule>
  </conditionalFormatting>
  <conditionalFormatting sqref="C38">
    <cfRule type="expression" dxfId="3" priority="1">
      <formula>$C$36=$C$37</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3806-53C6-43B8-BDC3-DE51C81ADEAE}">
  <dimension ref="A1:XFC44"/>
  <sheetViews>
    <sheetView zoomScaleNormal="100" workbookViewId="0">
      <selection sqref="A1:H1"/>
    </sheetView>
  </sheetViews>
  <sheetFormatPr defaultRowHeight="14.4" x14ac:dyDescent="0.3"/>
  <cols>
    <col min="1" max="1" width="37.33203125" bestFit="1" customWidth="1"/>
    <col min="2" max="8" width="17.77734375" customWidth="1"/>
  </cols>
  <sheetData>
    <row r="1" spans="1:16383" ht="27.75" customHeight="1" x14ac:dyDescent="0.3">
      <c r="A1" s="190" t="s">
        <v>241</v>
      </c>
      <c r="B1" s="190"/>
      <c r="C1" s="190"/>
      <c r="D1" s="190"/>
      <c r="E1" s="190"/>
      <c r="F1" s="190"/>
      <c r="G1" s="190"/>
      <c r="H1" s="190"/>
    </row>
    <row r="3" spans="1:16383" ht="18" customHeight="1" x14ac:dyDescent="0.3">
      <c r="A3" s="217" t="s">
        <v>245</v>
      </c>
      <c r="B3" s="217"/>
      <c r="C3" s="217" t="s">
        <v>242</v>
      </c>
      <c r="D3" s="217"/>
      <c r="E3" s="217" t="s">
        <v>243</v>
      </c>
      <c r="F3" s="217"/>
      <c r="G3" s="217" t="s">
        <v>244</v>
      </c>
      <c r="H3" s="217"/>
    </row>
    <row r="4" spans="1:16383" ht="40.200000000000003" customHeight="1" x14ac:dyDescent="0.3">
      <c r="A4" s="218">
        <f>'06_Reconciliation_&amp;_Controls'!E5</f>
        <v>6120000</v>
      </c>
      <c r="B4" s="218"/>
      <c r="C4" s="218">
        <f>'06_Reconciliation_&amp;_Controls'!E20</f>
        <v>6339650</v>
      </c>
      <c r="D4" s="218"/>
      <c r="E4" s="219">
        <f>'06_Reconciliation_&amp;_Controls'!D18</f>
        <v>-219650</v>
      </c>
      <c r="F4" s="219"/>
      <c r="G4" s="218" t="str">
        <f>'06_Reconciliation_&amp;_Controls'!H21</f>
        <v>Pass (Reconciled)</v>
      </c>
      <c r="H4" s="218"/>
    </row>
    <row r="5" spans="1:16383" x14ac:dyDescent="0.3">
      <c r="A5" s="221" t="s">
        <v>246</v>
      </c>
      <c r="B5" s="221"/>
      <c r="C5" s="221" t="s">
        <v>247</v>
      </c>
      <c r="D5" s="221"/>
      <c r="E5" s="221" t="s">
        <v>248</v>
      </c>
      <c r="F5" s="221"/>
      <c r="G5" s="221" t="s">
        <v>249</v>
      </c>
      <c r="H5" s="221"/>
    </row>
    <row r="8" spans="1:16383" s="12" customFormat="1" x14ac:dyDescent="0.3">
      <c r="A8" s="220" t="s">
        <v>250</v>
      </c>
      <c r="B8" s="220"/>
      <c r="C8" s="220"/>
      <c r="D8" s="220"/>
      <c r="E8" s="220"/>
      <c r="F8" s="220"/>
      <c r="G8" s="220"/>
      <c r="H8" s="220"/>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c r="CZ8" s="216"/>
      <c r="DA8" s="216"/>
      <c r="DB8" s="216"/>
      <c r="DC8" s="216"/>
      <c r="DD8" s="216"/>
      <c r="DE8" s="216"/>
      <c r="DF8" s="216"/>
      <c r="DG8" s="216"/>
      <c r="DH8" s="216"/>
      <c r="DI8" s="216"/>
      <c r="DJ8" s="216"/>
      <c r="DK8" s="216"/>
      <c r="DL8" s="216"/>
      <c r="DM8" s="216"/>
      <c r="DN8" s="216"/>
      <c r="DO8" s="216"/>
      <c r="DP8" s="216"/>
      <c r="DQ8" s="216"/>
      <c r="DR8" s="216"/>
      <c r="DS8" s="216"/>
      <c r="DT8" s="216"/>
      <c r="DU8" s="216"/>
      <c r="DV8" s="216"/>
      <c r="DW8" s="216"/>
      <c r="DX8" s="216"/>
      <c r="DY8" s="216"/>
      <c r="DZ8" s="216"/>
      <c r="EA8" s="216"/>
      <c r="EB8" s="216"/>
      <c r="EC8" s="216"/>
      <c r="ED8" s="216"/>
      <c r="EE8" s="216"/>
      <c r="EF8" s="216"/>
      <c r="EG8" s="216"/>
      <c r="EH8" s="216"/>
      <c r="EI8" s="216"/>
      <c r="EJ8" s="216"/>
      <c r="EK8" s="216"/>
      <c r="EL8" s="216"/>
      <c r="EM8" s="216"/>
      <c r="EN8" s="216"/>
      <c r="EO8" s="216"/>
      <c r="EP8" s="216"/>
      <c r="EQ8" s="216"/>
      <c r="ER8" s="216"/>
      <c r="ES8" s="216"/>
      <c r="ET8" s="216"/>
      <c r="EU8" s="216"/>
      <c r="EV8" s="216"/>
      <c r="EW8" s="216"/>
      <c r="EX8" s="216"/>
      <c r="EY8" s="216"/>
      <c r="EZ8" s="216"/>
      <c r="FA8" s="216"/>
      <c r="FB8" s="216"/>
      <c r="FC8" s="216"/>
      <c r="FD8" s="216"/>
      <c r="FE8" s="216"/>
      <c r="FF8" s="216"/>
      <c r="FG8" s="216"/>
      <c r="FH8" s="216"/>
      <c r="FI8" s="216"/>
      <c r="FJ8" s="216"/>
      <c r="FK8" s="216"/>
      <c r="FL8" s="216"/>
      <c r="FM8" s="216"/>
      <c r="FN8" s="216"/>
      <c r="FO8" s="216"/>
      <c r="FP8" s="216"/>
      <c r="FQ8" s="216"/>
      <c r="FR8" s="216"/>
      <c r="FS8" s="216"/>
      <c r="FT8" s="216"/>
      <c r="FU8" s="216"/>
      <c r="FV8" s="216"/>
      <c r="FW8" s="216"/>
      <c r="FX8" s="216"/>
      <c r="FY8" s="216"/>
      <c r="FZ8" s="216"/>
      <c r="GA8" s="216"/>
      <c r="GB8" s="216"/>
      <c r="GC8" s="216"/>
      <c r="GD8" s="216"/>
      <c r="GE8" s="216"/>
      <c r="GF8" s="216"/>
      <c r="GG8" s="216"/>
      <c r="GH8" s="216"/>
      <c r="GI8" s="216"/>
      <c r="GJ8" s="216"/>
      <c r="GK8" s="216"/>
      <c r="GL8" s="216"/>
      <c r="GM8" s="216"/>
      <c r="GN8" s="216"/>
      <c r="GO8" s="216"/>
      <c r="GP8" s="216"/>
      <c r="GQ8" s="216"/>
      <c r="GR8" s="216"/>
      <c r="GS8" s="216"/>
      <c r="GT8" s="216"/>
      <c r="GU8" s="216"/>
      <c r="GV8" s="216"/>
      <c r="GW8" s="216"/>
      <c r="GX8" s="216"/>
      <c r="GY8" s="216"/>
      <c r="GZ8" s="216"/>
      <c r="HA8" s="216"/>
      <c r="HB8" s="216"/>
      <c r="HC8" s="216"/>
      <c r="HD8" s="216"/>
      <c r="HE8" s="216"/>
      <c r="HF8" s="216"/>
      <c r="HG8" s="216"/>
      <c r="HH8" s="216"/>
      <c r="HI8" s="216"/>
      <c r="HJ8" s="216"/>
      <c r="HK8" s="216"/>
      <c r="HL8" s="216"/>
      <c r="HM8" s="216"/>
      <c r="HN8" s="216"/>
      <c r="HO8" s="216"/>
      <c r="HP8" s="216"/>
      <c r="HQ8" s="216"/>
      <c r="HR8" s="216"/>
      <c r="HS8" s="216"/>
      <c r="HT8" s="216"/>
      <c r="HU8" s="216"/>
      <c r="HV8" s="216"/>
      <c r="HW8" s="216"/>
      <c r="HX8" s="216"/>
      <c r="HY8" s="216"/>
      <c r="HZ8" s="216"/>
      <c r="IA8" s="216"/>
      <c r="IB8" s="216"/>
      <c r="IC8" s="216"/>
      <c r="ID8" s="216"/>
      <c r="IE8" s="216"/>
      <c r="IF8" s="216"/>
      <c r="IG8" s="216"/>
      <c r="IH8" s="216"/>
      <c r="II8" s="216"/>
      <c r="IJ8" s="216"/>
      <c r="IK8" s="216"/>
      <c r="IL8" s="216"/>
      <c r="IM8" s="216"/>
      <c r="IN8" s="216"/>
      <c r="IO8" s="216"/>
      <c r="IP8" s="216"/>
      <c r="IQ8" s="216"/>
      <c r="IR8" s="216"/>
      <c r="IS8" s="216"/>
      <c r="IT8" s="216"/>
      <c r="IU8" s="216"/>
      <c r="IV8" s="216"/>
      <c r="IW8" s="216"/>
      <c r="IX8" s="216"/>
      <c r="IY8" s="216"/>
      <c r="IZ8" s="216"/>
      <c r="JA8" s="216"/>
      <c r="JB8" s="216"/>
      <c r="JC8" s="216"/>
      <c r="JD8" s="216"/>
      <c r="JE8" s="216"/>
      <c r="JF8" s="216"/>
      <c r="JG8" s="216"/>
      <c r="JH8" s="216"/>
      <c r="JI8" s="216"/>
      <c r="JJ8" s="216"/>
      <c r="JK8" s="216"/>
      <c r="JL8" s="216"/>
      <c r="JM8" s="216"/>
      <c r="JN8" s="216"/>
      <c r="JO8" s="216"/>
      <c r="JP8" s="216"/>
      <c r="JQ8" s="216"/>
      <c r="JR8" s="216"/>
      <c r="JS8" s="216"/>
      <c r="JT8" s="216"/>
      <c r="JU8" s="216"/>
      <c r="JV8" s="216"/>
      <c r="JW8" s="216"/>
      <c r="JX8" s="216"/>
      <c r="JY8" s="216"/>
      <c r="JZ8" s="216"/>
      <c r="KA8" s="216"/>
      <c r="KB8" s="216"/>
      <c r="KC8" s="216"/>
      <c r="KD8" s="216"/>
      <c r="KE8" s="216"/>
      <c r="KF8" s="216"/>
      <c r="KG8" s="216"/>
      <c r="KH8" s="216"/>
      <c r="KI8" s="216"/>
      <c r="KJ8" s="216"/>
      <c r="KK8" s="216"/>
      <c r="KL8" s="216"/>
      <c r="KM8" s="216"/>
      <c r="KN8" s="216"/>
      <c r="KO8" s="216"/>
      <c r="KP8" s="216"/>
      <c r="KQ8" s="216"/>
      <c r="KR8" s="216"/>
      <c r="KS8" s="216"/>
      <c r="KT8" s="216"/>
      <c r="KU8" s="216"/>
      <c r="KV8" s="216"/>
      <c r="KW8" s="216"/>
      <c r="KX8" s="216"/>
      <c r="KY8" s="216"/>
      <c r="KZ8" s="216"/>
      <c r="LA8" s="216"/>
      <c r="LB8" s="216"/>
      <c r="LC8" s="216"/>
      <c r="LD8" s="216"/>
      <c r="LE8" s="216"/>
      <c r="LF8" s="216"/>
      <c r="LG8" s="216"/>
      <c r="LH8" s="216"/>
      <c r="LI8" s="216"/>
      <c r="LJ8" s="216"/>
      <c r="LK8" s="216"/>
      <c r="LL8" s="216"/>
      <c r="LM8" s="216"/>
      <c r="LN8" s="216"/>
      <c r="LO8" s="216"/>
      <c r="LP8" s="216"/>
      <c r="LQ8" s="216"/>
      <c r="LR8" s="216"/>
      <c r="LS8" s="216"/>
      <c r="LT8" s="216"/>
      <c r="LU8" s="216"/>
      <c r="LV8" s="216"/>
      <c r="LW8" s="216"/>
      <c r="LX8" s="216"/>
      <c r="LY8" s="216"/>
      <c r="LZ8" s="216"/>
      <c r="MA8" s="216"/>
      <c r="MB8" s="216"/>
      <c r="MC8" s="216"/>
      <c r="MD8" s="216"/>
      <c r="ME8" s="216"/>
      <c r="MF8" s="216"/>
      <c r="MG8" s="216"/>
      <c r="MH8" s="216"/>
      <c r="MI8" s="216"/>
      <c r="MJ8" s="216"/>
      <c r="MK8" s="216"/>
      <c r="ML8" s="216"/>
      <c r="MM8" s="216"/>
      <c r="MN8" s="216"/>
      <c r="MO8" s="216"/>
      <c r="MP8" s="216"/>
      <c r="MQ8" s="216"/>
      <c r="MR8" s="216"/>
      <c r="MS8" s="216"/>
      <c r="MT8" s="216"/>
      <c r="MU8" s="216"/>
      <c r="MV8" s="216"/>
      <c r="MW8" s="216"/>
      <c r="MX8" s="216"/>
      <c r="MY8" s="216"/>
      <c r="MZ8" s="216"/>
      <c r="NA8" s="216"/>
      <c r="NB8" s="216"/>
      <c r="NC8" s="216"/>
      <c r="ND8" s="216"/>
      <c r="NE8" s="216"/>
      <c r="NF8" s="216"/>
      <c r="NG8" s="216"/>
      <c r="NH8" s="216"/>
      <c r="NI8" s="216"/>
      <c r="NJ8" s="216"/>
      <c r="NK8" s="216"/>
      <c r="NL8" s="216"/>
      <c r="NM8" s="216"/>
      <c r="NN8" s="216"/>
      <c r="NO8" s="216"/>
      <c r="NP8" s="216"/>
      <c r="NQ8" s="216"/>
      <c r="NR8" s="216"/>
      <c r="NS8" s="216"/>
      <c r="NT8" s="216"/>
      <c r="NU8" s="216"/>
      <c r="NV8" s="216"/>
      <c r="NW8" s="216"/>
      <c r="NX8" s="216"/>
      <c r="NY8" s="216"/>
      <c r="NZ8" s="216"/>
      <c r="OA8" s="216"/>
      <c r="OB8" s="216"/>
      <c r="OC8" s="216"/>
      <c r="OD8" s="216"/>
      <c r="OE8" s="216"/>
      <c r="OF8" s="216"/>
      <c r="OG8" s="216"/>
      <c r="OH8" s="216"/>
      <c r="OI8" s="216"/>
      <c r="OJ8" s="216"/>
      <c r="OK8" s="216"/>
      <c r="OL8" s="216"/>
      <c r="OM8" s="216"/>
      <c r="ON8" s="216"/>
      <c r="OO8" s="216"/>
      <c r="OP8" s="216"/>
      <c r="OQ8" s="216"/>
      <c r="OR8" s="216"/>
      <c r="OS8" s="216"/>
      <c r="OT8" s="216"/>
      <c r="OU8" s="216"/>
      <c r="OV8" s="216"/>
      <c r="OW8" s="216"/>
      <c r="OX8" s="216"/>
      <c r="OY8" s="216"/>
      <c r="OZ8" s="216"/>
      <c r="PA8" s="216"/>
      <c r="PB8" s="216"/>
      <c r="PC8" s="216"/>
      <c r="PD8" s="216"/>
      <c r="PE8" s="216"/>
      <c r="PF8" s="216"/>
      <c r="PG8" s="216"/>
      <c r="PH8" s="216"/>
      <c r="PI8" s="216"/>
      <c r="PJ8" s="216"/>
      <c r="PK8" s="216"/>
      <c r="PL8" s="216"/>
      <c r="PM8" s="216"/>
      <c r="PN8" s="216"/>
      <c r="PO8" s="216"/>
      <c r="PP8" s="216"/>
      <c r="PQ8" s="216"/>
      <c r="PR8" s="216"/>
      <c r="PS8" s="216"/>
      <c r="PT8" s="216"/>
      <c r="PU8" s="216"/>
      <c r="PV8" s="216"/>
      <c r="PW8" s="216"/>
      <c r="PX8" s="216"/>
      <c r="PY8" s="216"/>
      <c r="PZ8" s="216"/>
      <c r="QA8" s="216"/>
      <c r="QB8" s="216"/>
      <c r="QC8" s="216"/>
      <c r="QD8" s="216"/>
      <c r="QE8" s="216"/>
      <c r="QF8" s="216"/>
      <c r="QG8" s="216"/>
      <c r="QH8" s="216"/>
      <c r="QI8" s="216"/>
      <c r="QJ8" s="216"/>
      <c r="QK8" s="216"/>
      <c r="QL8" s="216"/>
      <c r="QM8" s="216"/>
      <c r="QN8" s="216"/>
      <c r="QO8" s="216"/>
      <c r="QP8" s="216"/>
      <c r="QQ8" s="216"/>
      <c r="QR8" s="216"/>
      <c r="QS8" s="216"/>
      <c r="QT8" s="216"/>
      <c r="QU8" s="216"/>
      <c r="QV8" s="216"/>
      <c r="QW8" s="216"/>
      <c r="QX8" s="216"/>
      <c r="QY8" s="216"/>
      <c r="QZ8" s="216"/>
      <c r="RA8" s="216"/>
      <c r="RB8" s="216"/>
      <c r="RC8" s="216"/>
      <c r="RD8" s="216"/>
      <c r="RE8" s="216"/>
      <c r="RF8" s="216"/>
      <c r="RG8" s="216"/>
      <c r="RH8" s="216"/>
      <c r="RI8" s="216"/>
      <c r="RJ8" s="216"/>
      <c r="RK8" s="216"/>
      <c r="RL8" s="216"/>
      <c r="RM8" s="216"/>
      <c r="RN8" s="216"/>
      <c r="RO8" s="216"/>
      <c r="RP8" s="216"/>
      <c r="RQ8" s="216"/>
      <c r="RR8" s="216"/>
      <c r="RS8" s="216"/>
      <c r="RT8" s="216"/>
      <c r="RU8" s="216"/>
      <c r="RV8" s="216"/>
      <c r="RW8" s="216"/>
      <c r="RX8" s="216"/>
      <c r="RY8" s="216"/>
      <c r="RZ8" s="216"/>
      <c r="SA8" s="216"/>
      <c r="SB8" s="216"/>
      <c r="SC8" s="216"/>
      <c r="SD8" s="216"/>
      <c r="SE8" s="216"/>
      <c r="SF8" s="216"/>
      <c r="SG8" s="216"/>
      <c r="SH8" s="216"/>
      <c r="SI8" s="216"/>
      <c r="SJ8" s="216"/>
      <c r="SK8" s="216"/>
      <c r="SL8" s="216"/>
      <c r="SM8" s="216"/>
      <c r="SN8" s="216"/>
      <c r="SO8" s="216"/>
      <c r="SP8" s="216"/>
      <c r="SQ8" s="216"/>
      <c r="SR8" s="216"/>
      <c r="SS8" s="216"/>
      <c r="ST8" s="216"/>
      <c r="SU8" s="216"/>
      <c r="SV8" s="216"/>
      <c r="SW8" s="216"/>
      <c r="SX8" s="216"/>
      <c r="SY8" s="216"/>
      <c r="SZ8" s="216"/>
      <c r="TA8" s="216"/>
      <c r="TB8" s="216"/>
      <c r="TC8" s="216"/>
      <c r="TD8" s="216"/>
      <c r="TE8" s="216"/>
      <c r="TF8" s="216"/>
      <c r="TG8" s="216"/>
      <c r="TH8" s="216"/>
      <c r="TI8" s="216"/>
      <c r="TJ8" s="216"/>
      <c r="TK8" s="216"/>
      <c r="TL8" s="216"/>
      <c r="TM8" s="216"/>
      <c r="TN8" s="216"/>
      <c r="TO8" s="216"/>
      <c r="TP8" s="216"/>
      <c r="TQ8" s="216"/>
      <c r="TR8" s="216"/>
      <c r="TS8" s="216"/>
      <c r="TT8" s="216"/>
      <c r="TU8" s="216"/>
      <c r="TV8" s="216"/>
      <c r="TW8" s="216"/>
      <c r="TX8" s="216"/>
      <c r="TY8" s="216"/>
      <c r="TZ8" s="216"/>
      <c r="UA8" s="216"/>
      <c r="UB8" s="216"/>
      <c r="UC8" s="216"/>
      <c r="UD8" s="216"/>
      <c r="UE8" s="216"/>
      <c r="UF8" s="216"/>
      <c r="UG8" s="216"/>
      <c r="UH8" s="216"/>
      <c r="UI8" s="216"/>
      <c r="UJ8" s="216"/>
      <c r="UK8" s="216"/>
      <c r="UL8" s="216"/>
      <c r="UM8" s="216"/>
      <c r="UN8" s="216"/>
      <c r="UO8" s="216"/>
      <c r="UP8" s="216"/>
      <c r="UQ8" s="216"/>
      <c r="UR8" s="216"/>
      <c r="US8" s="216"/>
      <c r="UT8" s="216"/>
      <c r="UU8" s="216"/>
      <c r="UV8" s="216"/>
      <c r="UW8" s="216"/>
      <c r="UX8" s="216"/>
      <c r="UY8" s="216"/>
      <c r="UZ8" s="216"/>
      <c r="VA8" s="216"/>
      <c r="VB8" s="216"/>
      <c r="VC8" s="216"/>
      <c r="VD8" s="216"/>
      <c r="VE8" s="216"/>
      <c r="VF8" s="216"/>
      <c r="VG8" s="216"/>
      <c r="VH8" s="216"/>
      <c r="VI8" s="216"/>
      <c r="VJ8" s="216"/>
      <c r="VK8" s="216"/>
      <c r="VL8" s="216"/>
      <c r="VM8" s="216"/>
      <c r="VN8" s="216"/>
      <c r="VO8" s="216"/>
      <c r="VP8" s="216"/>
      <c r="VQ8" s="216"/>
      <c r="VR8" s="216"/>
      <c r="VS8" s="216"/>
      <c r="VT8" s="216"/>
      <c r="VU8" s="216"/>
      <c r="VV8" s="216"/>
      <c r="VW8" s="216"/>
      <c r="VX8" s="216"/>
      <c r="VY8" s="216"/>
      <c r="VZ8" s="216"/>
      <c r="WA8" s="216"/>
      <c r="WB8" s="216"/>
      <c r="WC8" s="216"/>
      <c r="WD8" s="216"/>
      <c r="WE8" s="216"/>
      <c r="WF8" s="216"/>
      <c r="WG8" s="216"/>
      <c r="WH8" s="216"/>
      <c r="WI8" s="216"/>
      <c r="WJ8" s="216"/>
      <c r="WK8" s="216"/>
      <c r="WL8" s="216"/>
      <c r="WM8" s="216"/>
      <c r="WN8" s="216"/>
      <c r="WO8" s="216"/>
      <c r="WP8" s="216"/>
      <c r="WQ8" s="216"/>
      <c r="WR8" s="216"/>
      <c r="WS8" s="216"/>
      <c r="WT8" s="216"/>
      <c r="WU8" s="216"/>
      <c r="WV8" s="216"/>
      <c r="WW8" s="216"/>
      <c r="WX8" s="216"/>
      <c r="WY8" s="216"/>
      <c r="WZ8" s="216"/>
      <c r="XA8" s="216"/>
      <c r="XB8" s="216"/>
      <c r="XC8" s="216"/>
      <c r="XD8" s="216"/>
      <c r="XE8" s="216"/>
      <c r="XF8" s="216"/>
      <c r="XG8" s="216"/>
      <c r="XH8" s="216"/>
      <c r="XI8" s="216"/>
      <c r="XJ8" s="216"/>
      <c r="XK8" s="216"/>
      <c r="XL8" s="216"/>
      <c r="XM8" s="216"/>
      <c r="XN8" s="216"/>
      <c r="XO8" s="216"/>
      <c r="XP8" s="216"/>
      <c r="XQ8" s="216"/>
      <c r="XR8" s="216"/>
      <c r="XS8" s="216"/>
      <c r="XT8" s="216"/>
      <c r="XU8" s="216"/>
      <c r="XV8" s="216"/>
      <c r="XW8" s="216"/>
      <c r="XX8" s="216"/>
      <c r="XY8" s="216"/>
      <c r="XZ8" s="216"/>
      <c r="YA8" s="216"/>
      <c r="YB8" s="216"/>
      <c r="YC8" s="216"/>
      <c r="YD8" s="216"/>
      <c r="YE8" s="216"/>
      <c r="YF8" s="216"/>
      <c r="YG8" s="216"/>
      <c r="YH8" s="216"/>
      <c r="YI8" s="216"/>
      <c r="YJ8" s="216"/>
      <c r="YK8" s="216"/>
      <c r="YL8" s="216"/>
      <c r="YM8" s="216"/>
      <c r="YN8" s="216"/>
      <c r="YO8" s="216"/>
      <c r="YP8" s="216"/>
      <c r="YQ8" s="216"/>
      <c r="YR8" s="216"/>
      <c r="YS8" s="216"/>
      <c r="YT8" s="216"/>
      <c r="YU8" s="216"/>
      <c r="YV8" s="216"/>
      <c r="YW8" s="216"/>
      <c r="YX8" s="216"/>
      <c r="YY8" s="216"/>
      <c r="YZ8" s="216"/>
      <c r="ZA8" s="216"/>
      <c r="ZB8" s="216"/>
      <c r="ZC8" s="216"/>
      <c r="ZD8" s="216"/>
      <c r="ZE8" s="216"/>
      <c r="ZF8" s="216"/>
      <c r="ZG8" s="216"/>
      <c r="ZH8" s="216"/>
      <c r="ZI8" s="216"/>
      <c r="ZJ8" s="216"/>
      <c r="ZK8" s="216"/>
      <c r="ZL8" s="216"/>
      <c r="ZM8" s="216"/>
      <c r="ZN8" s="216"/>
      <c r="ZO8" s="216"/>
      <c r="ZP8" s="216"/>
      <c r="ZQ8" s="216"/>
      <c r="ZR8" s="216"/>
      <c r="ZS8" s="216"/>
      <c r="ZT8" s="216"/>
      <c r="ZU8" s="216"/>
      <c r="ZV8" s="216"/>
      <c r="ZW8" s="216"/>
      <c r="ZX8" s="216"/>
      <c r="ZY8" s="216"/>
      <c r="ZZ8" s="216"/>
      <c r="AAA8" s="216"/>
      <c r="AAB8" s="216"/>
      <c r="AAC8" s="216"/>
      <c r="AAD8" s="216"/>
      <c r="AAE8" s="216"/>
      <c r="AAF8" s="216"/>
      <c r="AAG8" s="216"/>
      <c r="AAH8" s="216"/>
      <c r="AAI8" s="216"/>
      <c r="AAJ8" s="216"/>
      <c r="AAK8" s="216"/>
      <c r="AAL8" s="216"/>
      <c r="AAM8" s="216"/>
      <c r="AAN8" s="216"/>
      <c r="AAO8" s="216"/>
      <c r="AAP8" s="216"/>
      <c r="AAQ8" s="216"/>
      <c r="AAR8" s="216"/>
      <c r="AAS8" s="216"/>
      <c r="AAT8" s="216"/>
      <c r="AAU8" s="216"/>
      <c r="AAV8" s="216"/>
      <c r="AAW8" s="216"/>
      <c r="AAX8" s="216"/>
      <c r="AAY8" s="216"/>
      <c r="AAZ8" s="216"/>
      <c r="ABA8" s="216"/>
      <c r="ABB8" s="216"/>
      <c r="ABC8" s="216"/>
      <c r="ABD8" s="216"/>
      <c r="ABE8" s="216"/>
      <c r="ABF8" s="216"/>
      <c r="ABG8" s="216"/>
      <c r="ABH8" s="216"/>
      <c r="ABI8" s="216"/>
      <c r="ABJ8" s="216"/>
      <c r="ABK8" s="216"/>
      <c r="ABL8" s="216"/>
      <c r="ABM8" s="216"/>
      <c r="ABN8" s="216"/>
      <c r="ABO8" s="216"/>
      <c r="ABP8" s="216"/>
      <c r="ABQ8" s="216"/>
      <c r="ABR8" s="216"/>
      <c r="ABS8" s="216"/>
      <c r="ABT8" s="216"/>
      <c r="ABU8" s="216"/>
      <c r="ABV8" s="216"/>
      <c r="ABW8" s="216"/>
      <c r="ABX8" s="216"/>
      <c r="ABY8" s="216"/>
      <c r="ABZ8" s="216"/>
      <c r="ACA8" s="216"/>
      <c r="ACB8" s="216"/>
      <c r="ACC8" s="216"/>
      <c r="ACD8" s="216"/>
      <c r="ACE8" s="216"/>
      <c r="ACF8" s="216"/>
      <c r="ACG8" s="216"/>
      <c r="ACH8" s="216"/>
      <c r="ACI8" s="216"/>
      <c r="ACJ8" s="216"/>
      <c r="ACK8" s="216"/>
      <c r="ACL8" s="216"/>
      <c r="ACM8" s="216"/>
      <c r="ACN8" s="216"/>
      <c r="ACO8" s="216"/>
      <c r="ACP8" s="216"/>
      <c r="ACQ8" s="216"/>
      <c r="ACR8" s="216"/>
      <c r="ACS8" s="216"/>
      <c r="ACT8" s="216"/>
      <c r="ACU8" s="216"/>
      <c r="ACV8" s="216"/>
      <c r="ACW8" s="216"/>
      <c r="ACX8" s="216"/>
      <c r="ACY8" s="216"/>
      <c r="ACZ8" s="216"/>
      <c r="ADA8" s="216"/>
      <c r="ADB8" s="216"/>
      <c r="ADC8" s="216"/>
      <c r="ADD8" s="216"/>
      <c r="ADE8" s="216"/>
      <c r="ADF8" s="216"/>
      <c r="ADG8" s="216"/>
      <c r="ADH8" s="216"/>
      <c r="ADI8" s="216"/>
      <c r="ADJ8" s="216"/>
      <c r="ADK8" s="216"/>
      <c r="ADL8" s="216"/>
      <c r="ADM8" s="216"/>
      <c r="ADN8" s="216"/>
      <c r="ADO8" s="216"/>
      <c r="ADP8" s="216"/>
      <c r="ADQ8" s="216"/>
      <c r="ADR8" s="216"/>
      <c r="ADS8" s="216"/>
      <c r="ADT8" s="216"/>
      <c r="ADU8" s="216"/>
      <c r="ADV8" s="216"/>
      <c r="ADW8" s="216"/>
      <c r="ADX8" s="216"/>
      <c r="ADY8" s="216"/>
      <c r="ADZ8" s="216"/>
      <c r="AEA8" s="216"/>
      <c r="AEB8" s="216"/>
      <c r="AEC8" s="216"/>
      <c r="AED8" s="216"/>
      <c r="AEE8" s="216"/>
      <c r="AEF8" s="216"/>
      <c r="AEG8" s="216"/>
      <c r="AEH8" s="216"/>
      <c r="AEI8" s="216"/>
      <c r="AEJ8" s="216"/>
      <c r="AEK8" s="216"/>
      <c r="AEL8" s="216"/>
      <c r="AEM8" s="216"/>
      <c r="AEN8" s="216"/>
      <c r="AEO8" s="216"/>
      <c r="AEP8" s="216"/>
      <c r="AEQ8" s="216"/>
      <c r="AER8" s="216"/>
      <c r="AES8" s="216"/>
      <c r="AET8" s="216"/>
      <c r="AEU8" s="216"/>
      <c r="AEV8" s="216"/>
      <c r="AEW8" s="216"/>
      <c r="AEX8" s="216"/>
      <c r="AEY8" s="216"/>
      <c r="AEZ8" s="216"/>
      <c r="AFA8" s="216"/>
      <c r="AFB8" s="216"/>
      <c r="AFC8" s="216"/>
      <c r="AFD8" s="216"/>
      <c r="AFE8" s="216"/>
      <c r="AFF8" s="216"/>
      <c r="AFG8" s="216"/>
      <c r="AFH8" s="216"/>
      <c r="AFI8" s="216"/>
      <c r="AFJ8" s="216"/>
      <c r="AFK8" s="216"/>
      <c r="AFL8" s="216"/>
      <c r="AFM8" s="216"/>
      <c r="AFN8" s="216"/>
      <c r="AFO8" s="216"/>
      <c r="AFP8" s="216"/>
      <c r="AFQ8" s="216"/>
      <c r="AFR8" s="216"/>
      <c r="AFS8" s="216"/>
      <c r="AFT8" s="216"/>
      <c r="AFU8" s="216"/>
      <c r="AFV8" s="216"/>
      <c r="AFW8" s="216"/>
      <c r="AFX8" s="216"/>
      <c r="AFY8" s="216"/>
      <c r="AFZ8" s="216"/>
      <c r="AGA8" s="216"/>
      <c r="AGB8" s="216"/>
      <c r="AGC8" s="216"/>
      <c r="AGD8" s="216"/>
      <c r="AGE8" s="216"/>
      <c r="AGF8" s="216"/>
      <c r="AGG8" s="216"/>
      <c r="AGH8" s="216"/>
      <c r="AGI8" s="216"/>
      <c r="AGJ8" s="216"/>
      <c r="AGK8" s="216"/>
      <c r="AGL8" s="216"/>
      <c r="AGM8" s="216"/>
      <c r="AGN8" s="216"/>
      <c r="AGO8" s="216"/>
      <c r="AGP8" s="216"/>
      <c r="AGQ8" s="216"/>
      <c r="AGR8" s="216"/>
      <c r="AGS8" s="216"/>
      <c r="AGT8" s="216"/>
      <c r="AGU8" s="216"/>
      <c r="AGV8" s="216"/>
      <c r="AGW8" s="216"/>
      <c r="AGX8" s="216"/>
      <c r="AGY8" s="216"/>
      <c r="AGZ8" s="216"/>
      <c r="AHA8" s="216"/>
      <c r="AHB8" s="216"/>
      <c r="AHC8" s="216"/>
      <c r="AHD8" s="216"/>
      <c r="AHE8" s="216"/>
      <c r="AHF8" s="216"/>
      <c r="AHG8" s="216"/>
      <c r="AHH8" s="216"/>
      <c r="AHI8" s="216"/>
      <c r="AHJ8" s="216"/>
      <c r="AHK8" s="216"/>
      <c r="AHL8" s="216"/>
      <c r="AHM8" s="216"/>
      <c r="AHN8" s="216"/>
      <c r="AHO8" s="216"/>
      <c r="AHP8" s="216"/>
      <c r="AHQ8" s="216"/>
      <c r="AHR8" s="216"/>
      <c r="AHS8" s="216"/>
      <c r="AHT8" s="216"/>
      <c r="AHU8" s="216"/>
      <c r="AHV8" s="216"/>
      <c r="AHW8" s="216"/>
      <c r="AHX8" s="216"/>
      <c r="AHY8" s="216"/>
      <c r="AHZ8" s="216"/>
      <c r="AIA8" s="216"/>
      <c r="AIB8" s="216"/>
      <c r="AIC8" s="216"/>
      <c r="AID8" s="216"/>
      <c r="AIE8" s="216"/>
      <c r="AIF8" s="216"/>
      <c r="AIG8" s="216"/>
      <c r="AIH8" s="216"/>
      <c r="AII8" s="216"/>
      <c r="AIJ8" s="216"/>
      <c r="AIK8" s="216"/>
      <c r="AIL8" s="216"/>
      <c r="AIM8" s="216"/>
      <c r="AIN8" s="216"/>
      <c r="AIO8" s="216"/>
      <c r="AIP8" s="216"/>
      <c r="AIQ8" s="216"/>
      <c r="AIR8" s="216"/>
      <c r="AIS8" s="216"/>
      <c r="AIT8" s="216"/>
      <c r="AIU8" s="216"/>
      <c r="AIV8" s="216"/>
      <c r="AIW8" s="216"/>
      <c r="AIX8" s="216"/>
      <c r="AIY8" s="216"/>
      <c r="AIZ8" s="216"/>
      <c r="AJA8" s="216"/>
      <c r="AJB8" s="216"/>
      <c r="AJC8" s="216"/>
      <c r="AJD8" s="216"/>
      <c r="AJE8" s="216"/>
      <c r="AJF8" s="216"/>
      <c r="AJG8" s="216"/>
      <c r="AJH8" s="216"/>
      <c r="AJI8" s="216"/>
      <c r="AJJ8" s="216"/>
      <c r="AJK8" s="216"/>
      <c r="AJL8" s="216"/>
      <c r="AJM8" s="216"/>
      <c r="AJN8" s="216"/>
      <c r="AJO8" s="216"/>
      <c r="AJP8" s="216"/>
      <c r="AJQ8" s="216"/>
      <c r="AJR8" s="216"/>
      <c r="AJS8" s="216"/>
      <c r="AJT8" s="216"/>
      <c r="AJU8" s="216"/>
      <c r="AJV8" s="216"/>
      <c r="AJW8" s="216"/>
      <c r="AJX8" s="216"/>
      <c r="AJY8" s="216"/>
      <c r="AJZ8" s="216"/>
      <c r="AKA8" s="216"/>
      <c r="AKB8" s="216"/>
      <c r="AKC8" s="216"/>
      <c r="AKD8" s="216"/>
      <c r="AKE8" s="216"/>
      <c r="AKF8" s="216"/>
      <c r="AKG8" s="216"/>
      <c r="AKH8" s="216"/>
      <c r="AKI8" s="216"/>
      <c r="AKJ8" s="216"/>
      <c r="AKK8" s="216"/>
      <c r="AKL8" s="216"/>
      <c r="AKM8" s="216"/>
      <c r="AKN8" s="216"/>
      <c r="AKO8" s="216"/>
      <c r="AKP8" s="216"/>
      <c r="AKQ8" s="216"/>
      <c r="AKR8" s="216"/>
      <c r="AKS8" s="216"/>
      <c r="AKT8" s="216"/>
      <c r="AKU8" s="216"/>
      <c r="AKV8" s="216"/>
      <c r="AKW8" s="216"/>
      <c r="AKX8" s="216"/>
      <c r="AKY8" s="216"/>
      <c r="AKZ8" s="216"/>
      <c r="ALA8" s="216"/>
      <c r="ALB8" s="216"/>
      <c r="ALC8" s="216"/>
      <c r="ALD8" s="216"/>
      <c r="ALE8" s="216"/>
      <c r="ALF8" s="216"/>
      <c r="ALG8" s="216"/>
      <c r="ALH8" s="216"/>
      <c r="ALI8" s="216"/>
      <c r="ALJ8" s="216"/>
      <c r="ALK8" s="216"/>
      <c r="ALL8" s="216"/>
      <c r="ALM8" s="216"/>
      <c r="ALN8" s="216"/>
      <c r="ALO8" s="216"/>
      <c r="ALP8" s="216"/>
      <c r="ALQ8" s="216"/>
      <c r="ALR8" s="216"/>
      <c r="ALS8" s="216"/>
      <c r="ALT8" s="216"/>
      <c r="ALU8" s="216"/>
      <c r="ALV8" s="216"/>
      <c r="ALW8" s="216"/>
      <c r="ALX8" s="216"/>
      <c r="ALY8" s="216"/>
      <c r="ALZ8" s="216"/>
      <c r="AMA8" s="216"/>
      <c r="AMB8" s="216"/>
      <c r="AMC8" s="216"/>
      <c r="AMD8" s="216"/>
      <c r="AME8" s="216"/>
      <c r="AMF8" s="216"/>
      <c r="AMG8" s="216"/>
      <c r="AMH8" s="216"/>
      <c r="AMI8" s="216"/>
      <c r="AMJ8" s="216"/>
      <c r="AMK8" s="216"/>
      <c r="AML8" s="216"/>
      <c r="AMM8" s="216"/>
      <c r="AMN8" s="216"/>
      <c r="AMO8" s="216"/>
      <c r="AMP8" s="216"/>
      <c r="AMQ8" s="216"/>
      <c r="AMR8" s="216"/>
      <c r="AMS8" s="216"/>
      <c r="AMT8" s="216"/>
      <c r="AMU8" s="216"/>
      <c r="AMV8" s="216"/>
      <c r="AMW8" s="216"/>
      <c r="AMX8" s="216"/>
      <c r="AMY8" s="216"/>
      <c r="AMZ8" s="216"/>
      <c r="ANA8" s="216"/>
      <c r="ANB8" s="216"/>
      <c r="ANC8" s="216"/>
      <c r="AND8" s="216"/>
      <c r="ANE8" s="216"/>
      <c r="ANF8" s="216"/>
      <c r="ANG8" s="216"/>
      <c r="ANH8" s="216"/>
      <c r="ANI8" s="216"/>
      <c r="ANJ8" s="216"/>
      <c r="ANK8" s="216"/>
      <c r="ANL8" s="216"/>
      <c r="ANM8" s="216"/>
      <c r="ANN8" s="216"/>
      <c r="ANO8" s="216"/>
      <c r="ANP8" s="216"/>
      <c r="ANQ8" s="216"/>
      <c r="ANR8" s="216"/>
      <c r="ANS8" s="216"/>
      <c r="ANT8" s="216"/>
      <c r="ANU8" s="216"/>
      <c r="ANV8" s="216"/>
      <c r="ANW8" s="216"/>
      <c r="ANX8" s="216"/>
      <c r="ANY8" s="216"/>
      <c r="ANZ8" s="216"/>
      <c r="AOA8" s="216"/>
      <c r="AOB8" s="216"/>
      <c r="AOC8" s="216"/>
      <c r="AOD8" s="216"/>
      <c r="AOE8" s="216"/>
      <c r="AOF8" s="216"/>
      <c r="AOG8" s="216"/>
      <c r="AOH8" s="216"/>
      <c r="AOI8" s="216"/>
      <c r="AOJ8" s="216"/>
      <c r="AOK8" s="216"/>
      <c r="AOL8" s="216"/>
      <c r="AOM8" s="216"/>
      <c r="AON8" s="216"/>
      <c r="AOO8" s="216"/>
      <c r="AOP8" s="216"/>
      <c r="AOQ8" s="216"/>
      <c r="AOR8" s="216"/>
      <c r="AOS8" s="216"/>
      <c r="AOT8" s="216"/>
      <c r="AOU8" s="216"/>
      <c r="AOV8" s="216"/>
      <c r="AOW8" s="216"/>
      <c r="AOX8" s="216"/>
      <c r="AOY8" s="216"/>
      <c r="AOZ8" s="216"/>
      <c r="APA8" s="216"/>
      <c r="APB8" s="216"/>
      <c r="APC8" s="216"/>
      <c r="APD8" s="216"/>
      <c r="APE8" s="216"/>
      <c r="APF8" s="216"/>
      <c r="APG8" s="216"/>
      <c r="APH8" s="216"/>
      <c r="API8" s="216"/>
      <c r="APJ8" s="216"/>
      <c r="APK8" s="216"/>
      <c r="APL8" s="216"/>
      <c r="APM8" s="216"/>
      <c r="APN8" s="216"/>
      <c r="APO8" s="216"/>
      <c r="APP8" s="216"/>
      <c r="APQ8" s="216"/>
      <c r="APR8" s="216"/>
      <c r="APS8" s="216"/>
      <c r="APT8" s="216"/>
      <c r="APU8" s="216"/>
      <c r="APV8" s="216"/>
      <c r="APW8" s="216"/>
      <c r="APX8" s="216"/>
      <c r="APY8" s="216"/>
      <c r="APZ8" s="216"/>
      <c r="AQA8" s="216"/>
      <c r="AQB8" s="216"/>
      <c r="AQC8" s="216"/>
      <c r="AQD8" s="216"/>
      <c r="AQE8" s="216"/>
      <c r="AQF8" s="216"/>
      <c r="AQG8" s="216"/>
      <c r="AQH8" s="216"/>
      <c r="AQI8" s="216"/>
      <c r="AQJ8" s="216"/>
      <c r="AQK8" s="216"/>
      <c r="AQL8" s="216"/>
      <c r="AQM8" s="216"/>
      <c r="AQN8" s="216"/>
      <c r="AQO8" s="216"/>
      <c r="AQP8" s="216"/>
      <c r="AQQ8" s="216"/>
      <c r="AQR8" s="216"/>
      <c r="AQS8" s="216"/>
      <c r="AQT8" s="216"/>
      <c r="AQU8" s="216"/>
      <c r="AQV8" s="216"/>
      <c r="AQW8" s="216"/>
      <c r="AQX8" s="216"/>
      <c r="AQY8" s="216"/>
      <c r="AQZ8" s="216"/>
      <c r="ARA8" s="216"/>
      <c r="ARB8" s="216"/>
      <c r="ARC8" s="216"/>
      <c r="ARD8" s="216"/>
      <c r="ARE8" s="216"/>
      <c r="ARF8" s="216"/>
      <c r="ARG8" s="216"/>
      <c r="ARH8" s="216"/>
      <c r="ARI8" s="216"/>
      <c r="ARJ8" s="216"/>
      <c r="ARK8" s="216"/>
      <c r="ARL8" s="216"/>
      <c r="ARM8" s="216"/>
      <c r="ARN8" s="216"/>
      <c r="ARO8" s="216"/>
      <c r="ARP8" s="216"/>
      <c r="ARQ8" s="216"/>
      <c r="ARR8" s="216"/>
      <c r="ARS8" s="216"/>
      <c r="ART8" s="216"/>
      <c r="ARU8" s="216"/>
      <c r="ARV8" s="216"/>
      <c r="ARW8" s="216"/>
      <c r="ARX8" s="216"/>
      <c r="ARY8" s="216"/>
      <c r="ARZ8" s="216"/>
      <c r="ASA8" s="216"/>
      <c r="ASB8" s="216"/>
      <c r="ASC8" s="216"/>
      <c r="ASD8" s="216"/>
      <c r="ASE8" s="216"/>
      <c r="ASF8" s="216"/>
      <c r="ASG8" s="216"/>
      <c r="ASH8" s="216"/>
      <c r="ASI8" s="216"/>
      <c r="ASJ8" s="216"/>
      <c r="ASK8" s="216"/>
      <c r="ASL8" s="216"/>
      <c r="ASM8" s="216"/>
      <c r="ASN8" s="216"/>
      <c r="ASO8" s="216"/>
      <c r="ASP8" s="216"/>
      <c r="ASQ8" s="216"/>
      <c r="ASR8" s="216"/>
      <c r="ASS8" s="216"/>
      <c r="AST8" s="216"/>
      <c r="ASU8" s="216"/>
      <c r="ASV8" s="216"/>
      <c r="ASW8" s="216"/>
      <c r="ASX8" s="216"/>
      <c r="ASY8" s="216"/>
      <c r="ASZ8" s="216"/>
      <c r="ATA8" s="216"/>
      <c r="ATB8" s="216"/>
      <c r="ATC8" s="216"/>
      <c r="ATD8" s="216"/>
      <c r="ATE8" s="216"/>
      <c r="ATF8" s="216"/>
      <c r="ATG8" s="216"/>
      <c r="ATH8" s="216"/>
      <c r="ATI8" s="216"/>
      <c r="ATJ8" s="216"/>
      <c r="ATK8" s="216"/>
      <c r="ATL8" s="216"/>
      <c r="ATM8" s="216"/>
      <c r="ATN8" s="216"/>
      <c r="ATO8" s="216"/>
      <c r="ATP8" s="216"/>
      <c r="ATQ8" s="216"/>
      <c r="ATR8" s="216"/>
      <c r="ATS8" s="216"/>
      <c r="ATT8" s="216"/>
      <c r="ATU8" s="216"/>
      <c r="ATV8" s="216"/>
      <c r="ATW8" s="216"/>
      <c r="ATX8" s="216"/>
      <c r="ATY8" s="216"/>
      <c r="ATZ8" s="216"/>
      <c r="AUA8" s="216"/>
      <c r="AUB8" s="216"/>
      <c r="AUC8" s="216"/>
      <c r="AUD8" s="216"/>
      <c r="AUE8" s="216"/>
      <c r="AUF8" s="216"/>
      <c r="AUG8" s="216"/>
      <c r="AUH8" s="216"/>
      <c r="AUI8" s="216"/>
      <c r="AUJ8" s="216"/>
      <c r="AUK8" s="216"/>
      <c r="AUL8" s="216"/>
      <c r="AUM8" s="216"/>
      <c r="AUN8" s="216"/>
      <c r="AUO8" s="216"/>
      <c r="AUP8" s="216"/>
      <c r="AUQ8" s="216"/>
      <c r="AUR8" s="216"/>
      <c r="AUS8" s="216"/>
      <c r="AUT8" s="216"/>
      <c r="AUU8" s="216"/>
      <c r="AUV8" s="216"/>
      <c r="AUW8" s="216"/>
      <c r="AUX8" s="216"/>
      <c r="AUY8" s="216"/>
      <c r="AUZ8" s="216"/>
      <c r="AVA8" s="216"/>
      <c r="AVB8" s="216"/>
      <c r="AVC8" s="216"/>
      <c r="AVD8" s="216"/>
      <c r="AVE8" s="216"/>
      <c r="AVF8" s="216"/>
      <c r="AVG8" s="216"/>
      <c r="AVH8" s="216"/>
      <c r="AVI8" s="216"/>
      <c r="AVJ8" s="216"/>
      <c r="AVK8" s="216"/>
      <c r="AVL8" s="216"/>
      <c r="AVM8" s="216"/>
      <c r="AVN8" s="216"/>
      <c r="AVO8" s="216"/>
      <c r="AVP8" s="216"/>
      <c r="AVQ8" s="216"/>
      <c r="AVR8" s="216"/>
      <c r="AVS8" s="216"/>
      <c r="AVT8" s="216"/>
      <c r="AVU8" s="216"/>
      <c r="AVV8" s="216"/>
      <c r="AVW8" s="216"/>
      <c r="AVX8" s="216"/>
      <c r="AVY8" s="216"/>
      <c r="AVZ8" s="216"/>
      <c r="AWA8" s="216"/>
      <c r="AWB8" s="216"/>
      <c r="AWC8" s="216"/>
      <c r="AWD8" s="216"/>
      <c r="AWE8" s="216"/>
      <c r="AWF8" s="216"/>
      <c r="AWG8" s="216"/>
      <c r="AWH8" s="216"/>
      <c r="AWI8" s="216"/>
      <c r="AWJ8" s="216"/>
      <c r="AWK8" s="216"/>
      <c r="AWL8" s="216"/>
      <c r="AWM8" s="216"/>
      <c r="AWN8" s="216"/>
      <c r="AWO8" s="216"/>
      <c r="AWP8" s="216"/>
      <c r="AWQ8" s="216"/>
      <c r="AWR8" s="216"/>
      <c r="AWS8" s="216"/>
      <c r="AWT8" s="216"/>
      <c r="AWU8" s="216"/>
      <c r="AWV8" s="216"/>
      <c r="AWW8" s="216"/>
      <c r="AWX8" s="216"/>
      <c r="AWY8" s="216"/>
      <c r="AWZ8" s="216"/>
      <c r="AXA8" s="216"/>
      <c r="AXB8" s="216"/>
      <c r="AXC8" s="216"/>
      <c r="AXD8" s="216"/>
      <c r="AXE8" s="216"/>
      <c r="AXF8" s="216"/>
      <c r="AXG8" s="216"/>
      <c r="AXH8" s="216"/>
      <c r="AXI8" s="216"/>
      <c r="AXJ8" s="216"/>
      <c r="AXK8" s="216"/>
      <c r="AXL8" s="216"/>
      <c r="AXM8" s="216"/>
      <c r="AXN8" s="216"/>
      <c r="AXO8" s="216"/>
      <c r="AXP8" s="216"/>
      <c r="AXQ8" s="216"/>
      <c r="AXR8" s="216"/>
      <c r="AXS8" s="216"/>
      <c r="AXT8" s="216"/>
      <c r="AXU8" s="216"/>
      <c r="AXV8" s="216"/>
      <c r="AXW8" s="216"/>
      <c r="AXX8" s="216"/>
      <c r="AXY8" s="216"/>
      <c r="AXZ8" s="216"/>
      <c r="AYA8" s="216"/>
      <c r="AYB8" s="216"/>
      <c r="AYC8" s="216"/>
      <c r="AYD8" s="216"/>
      <c r="AYE8" s="216"/>
      <c r="AYF8" s="216"/>
      <c r="AYG8" s="216"/>
      <c r="AYH8" s="216"/>
      <c r="AYI8" s="216"/>
      <c r="AYJ8" s="216"/>
      <c r="AYK8" s="216"/>
      <c r="AYL8" s="216"/>
      <c r="AYM8" s="216"/>
      <c r="AYN8" s="216"/>
      <c r="AYO8" s="216"/>
      <c r="AYP8" s="216"/>
      <c r="AYQ8" s="216"/>
      <c r="AYR8" s="216"/>
      <c r="AYS8" s="216"/>
      <c r="AYT8" s="216"/>
      <c r="AYU8" s="216"/>
      <c r="AYV8" s="216"/>
      <c r="AYW8" s="216"/>
      <c r="AYX8" s="216"/>
      <c r="AYY8" s="216"/>
      <c r="AYZ8" s="216"/>
      <c r="AZA8" s="216"/>
      <c r="AZB8" s="216"/>
      <c r="AZC8" s="216"/>
      <c r="AZD8" s="216"/>
      <c r="AZE8" s="216"/>
      <c r="AZF8" s="216"/>
      <c r="AZG8" s="216"/>
      <c r="AZH8" s="216"/>
      <c r="AZI8" s="216"/>
      <c r="AZJ8" s="216"/>
      <c r="AZK8" s="216"/>
      <c r="AZL8" s="216"/>
      <c r="AZM8" s="216"/>
      <c r="AZN8" s="216"/>
      <c r="AZO8" s="216"/>
      <c r="AZP8" s="216"/>
      <c r="AZQ8" s="216"/>
      <c r="AZR8" s="216"/>
      <c r="AZS8" s="216"/>
      <c r="AZT8" s="216"/>
      <c r="AZU8" s="216"/>
      <c r="AZV8" s="216"/>
      <c r="AZW8" s="216"/>
      <c r="AZX8" s="216"/>
      <c r="AZY8" s="216"/>
      <c r="AZZ8" s="216"/>
      <c r="BAA8" s="216"/>
      <c r="BAB8" s="216"/>
      <c r="BAC8" s="216"/>
      <c r="BAD8" s="216"/>
      <c r="BAE8" s="216"/>
      <c r="BAF8" s="216"/>
      <c r="BAG8" s="216"/>
      <c r="BAH8" s="216"/>
      <c r="BAI8" s="216"/>
      <c r="BAJ8" s="216"/>
      <c r="BAK8" s="216"/>
      <c r="BAL8" s="216"/>
      <c r="BAM8" s="216"/>
      <c r="BAN8" s="216"/>
      <c r="BAO8" s="216"/>
      <c r="BAP8" s="216"/>
      <c r="BAQ8" s="216"/>
      <c r="BAR8" s="216"/>
      <c r="BAS8" s="216"/>
      <c r="BAT8" s="216"/>
      <c r="BAU8" s="216"/>
      <c r="BAV8" s="216"/>
      <c r="BAW8" s="216"/>
      <c r="BAX8" s="216"/>
      <c r="BAY8" s="216"/>
      <c r="BAZ8" s="216"/>
      <c r="BBA8" s="216"/>
      <c r="BBB8" s="216"/>
      <c r="BBC8" s="216"/>
      <c r="BBD8" s="216"/>
      <c r="BBE8" s="216"/>
      <c r="BBF8" s="216"/>
      <c r="BBG8" s="216"/>
      <c r="BBH8" s="216"/>
      <c r="BBI8" s="216"/>
      <c r="BBJ8" s="216"/>
      <c r="BBK8" s="216"/>
      <c r="BBL8" s="216"/>
      <c r="BBM8" s="216"/>
      <c r="BBN8" s="216"/>
      <c r="BBO8" s="216"/>
      <c r="BBP8" s="216"/>
      <c r="BBQ8" s="216"/>
      <c r="BBR8" s="216"/>
      <c r="BBS8" s="216"/>
      <c r="BBT8" s="216"/>
      <c r="BBU8" s="216"/>
      <c r="BBV8" s="216"/>
      <c r="BBW8" s="216"/>
      <c r="BBX8" s="216"/>
      <c r="BBY8" s="216"/>
      <c r="BBZ8" s="216"/>
      <c r="BCA8" s="216"/>
      <c r="BCB8" s="216"/>
      <c r="BCC8" s="216"/>
      <c r="BCD8" s="216"/>
      <c r="BCE8" s="216"/>
      <c r="BCF8" s="216"/>
      <c r="BCG8" s="216"/>
      <c r="BCH8" s="216"/>
      <c r="BCI8" s="216"/>
      <c r="BCJ8" s="216"/>
      <c r="BCK8" s="216"/>
      <c r="BCL8" s="216"/>
      <c r="BCM8" s="216"/>
      <c r="BCN8" s="216"/>
      <c r="BCO8" s="216"/>
      <c r="BCP8" s="216"/>
      <c r="BCQ8" s="216"/>
      <c r="BCR8" s="216"/>
      <c r="BCS8" s="216"/>
      <c r="BCT8" s="216"/>
      <c r="BCU8" s="216"/>
      <c r="BCV8" s="216"/>
      <c r="BCW8" s="216"/>
      <c r="BCX8" s="216"/>
      <c r="BCY8" s="216"/>
      <c r="BCZ8" s="216"/>
      <c r="BDA8" s="216"/>
      <c r="BDB8" s="216"/>
      <c r="BDC8" s="216"/>
      <c r="BDD8" s="216"/>
      <c r="BDE8" s="216"/>
      <c r="BDF8" s="216"/>
      <c r="BDG8" s="216"/>
      <c r="BDH8" s="216"/>
      <c r="BDI8" s="216"/>
      <c r="BDJ8" s="216"/>
      <c r="BDK8" s="216"/>
      <c r="BDL8" s="216"/>
      <c r="BDM8" s="216"/>
      <c r="BDN8" s="216"/>
      <c r="BDO8" s="216"/>
      <c r="BDP8" s="216"/>
      <c r="BDQ8" s="216"/>
      <c r="BDR8" s="216"/>
      <c r="BDS8" s="216"/>
      <c r="BDT8" s="216"/>
      <c r="BDU8" s="216"/>
      <c r="BDV8" s="216"/>
      <c r="BDW8" s="216"/>
      <c r="BDX8" s="216"/>
      <c r="BDY8" s="216"/>
      <c r="BDZ8" s="216"/>
      <c r="BEA8" s="216"/>
      <c r="BEB8" s="216"/>
      <c r="BEC8" s="216"/>
      <c r="BED8" s="216"/>
      <c r="BEE8" s="216"/>
      <c r="BEF8" s="216"/>
      <c r="BEG8" s="216"/>
      <c r="BEH8" s="216"/>
      <c r="BEI8" s="216"/>
      <c r="BEJ8" s="216"/>
      <c r="BEK8" s="216"/>
      <c r="BEL8" s="216"/>
      <c r="BEM8" s="216"/>
      <c r="BEN8" s="216"/>
      <c r="BEO8" s="216"/>
      <c r="BEP8" s="216"/>
      <c r="BEQ8" s="216"/>
      <c r="BER8" s="216"/>
      <c r="BES8" s="216"/>
      <c r="BET8" s="216"/>
      <c r="BEU8" s="216"/>
      <c r="BEV8" s="216"/>
      <c r="BEW8" s="216"/>
      <c r="BEX8" s="216"/>
      <c r="BEY8" s="216"/>
      <c r="BEZ8" s="216"/>
      <c r="BFA8" s="216"/>
      <c r="BFB8" s="216"/>
      <c r="BFC8" s="216"/>
      <c r="BFD8" s="216"/>
      <c r="BFE8" s="216"/>
      <c r="BFF8" s="216"/>
      <c r="BFG8" s="216"/>
      <c r="BFH8" s="216"/>
      <c r="BFI8" s="216"/>
      <c r="BFJ8" s="216"/>
      <c r="BFK8" s="216"/>
      <c r="BFL8" s="216"/>
      <c r="BFM8" s="216"/>
      <c r="BFN8" s="216"/>
      <c r="BFO8" s="216"/>
      <c r="BFP8" s="216"/>
      <c r="BFQ8" s="216"/>
      <c r="BFR8" s="216"/>
      <c r="BFS8" s="216"/>
      <c r="BFT8" s="216"/>
      <c r="BFU8" s="216"/>
      <c r="BFV8" s="216"/>
      <c r="BFW8" s="216"/>
      <c r="BFX8" s="216"/>
      <c r="BFY8" s="216"/>
      <c r="BFZ8" s="216"/>
      <c r="BGA8" s="216"/>
      <c r="BGB8" s="216"/>
      <c r="BGC8" s="216"/>
      <c r="BGD8" s="216"/>
      <c r="BGE8" s="216"/>
      <c r="BGF8" s="216"/>
      <c r="BGG8" s="216"/>
      <c r="BGH8" s="216"/>
      <c r="BGI8" s="216"/>
      <c r="BGJ8" s="216"/>
      <c r="BGK8" s="216"/>
      <c r="BGL8" s="216"/>
      <c r="BGM8" s="216"/>
      <c r="BGN8" s="216"/>
      <c r="BGO8" s="216"/>
      <c r="BGP8" s="216"/>
      <c r="BGQ8" s="216"/>
      <c r="BGR8" s="216"/>
      <c r="BGS8" s="216"/>
      <c r="BGT8" s="216"/>
      <c r="BGU8" s="216"/>
      <c r="BGV8" s="216"/>
      <c r="BGW8" s="216"/>
      <c r="BGX8" s="216"/>
      <c r="BGY8" s="216"/>
      <c r="BGZ8" s="216"/>
      <c r="BHA8" s="216"/>
      <c r="BHB8" s="216"/>
      <c r="BHC8" s="216"/>
      <c r="BHD8" s="216"/>
      <c r="BHE8" s="216"/>
      <c r="BHF8" s="216"/>
      <c r="BHG8" s="216"/>
      <c r="BHH8" s="216"/>
      <c r="BHI8" s="216"/>
      <c r="BHJ8" s="216"/>
      <c r="BHK8" s="216"/>
      <c r="BHL8" s="216"/>
      <c r="BHM8" s="216"/>
      <c r="BHN8" s="216"/>
      <c r="BHO8" s="216"/>
      <c r="BHP8" s="216"/>
      <c r="BHQ8" s="216"/>
      <c r="BHR8" s="216"/>
      <c r="BHS8" s="216"/>
      <c r="BHT8" s="216"/>
      <c r="BHU8" s="216"/>
      <c r="BHV8" s="216"/>
      <c r="BHW8" s="216"/>
      <c r="BHX8" s="216"/>
      <c r="BHY8" s="216"/>
      <c r="BHZ8" s="216"/>
      <c r="BIA8" s="216"/>
      <c r="BIB8" s="216"/>
      <c r="BIC8" s="216"/>
      <c r="BID8" s="216"/>
      <c r="BIE8" s="216"/>
      <c r="BIF8" s="216"/>
      <c r="BIG8" s="216"/>
      <c r="BIH8" s="216"/>
      <c r="BII8" s="216"/>
      <c r="BIJ8" s="216"/>
      <c r="BIK8" s="216"/>
      <c r="BIL8" s="216"/>
      <c r="BIM8" s="216"/>
      <c r="BIN8" s="216"/>
      <c r="BIO8" s="216"/>
      <c r="BIP8" s="216"/>
      <c r="BIQ8" s="216"/>
      <c r="BIR8" s="216"/>
      <c r="BIS8" s="216"/>
      <c r="BIT8" s="216"/>
      <c r="BIU8" s="216"/>
      <c r="BIV8" s="216"/>
      <c r="BIW8" s="216"/>
      <c r="BIX8" s="216"/>
      <c r="BIY8" s="216"/>
      <c r="BIZ8" s="216"/>
      <c r="BJA8" s="216"/>
      <c r="BJB8" s="216"/>
      <c r="BJC8" s="216"/>
      <c r="BJD8" s="216"/>
      <c r="BJE8" s="216"/>
      <c r="BJF8" s="216"/>
      <c r="BJG8" s="216"/>
      <c r="BJH8" s="216"/>
      <c r="BJI8" s="216"/>
      <c r="BJJ8" s="216"/>
      <c r="BJK8" s="216"/>
      <c r="BJL8" s="216"/>
      <c r="BJM8" s="216"/>
      <c r="BJN8" s="216"/>
      <c r="BJO8" s="216"/>
      <c r="BJP8" s="216"/>
      <c r="BJQ8" s="216"/>
      <c r="BJR8" s="216"/>
      <c r="BJS8" s="216"/>
      <c r="BJT8" s="216"/>
      <c r="BJU8" s="216"/>
      <c r="BJV8" s="216"/>
      <c r="BJW8" s="216"/>
      <c r="BJX8" s="216"/>
      <c r="BJY8" s="216"/>
      <c r="BJZ8" s="216"/>
      <c r="BKA8" s="216"/>
      <c r="BKB8" s="216"/>
      <c r="BKC8" s="216"/>
      <c r="BKD8" s="216"/>
      <c r="BKE8" s="216"/>
      <c r="BKF8" s="216"/>
      <c r="BKG8" s="216"/>
      <c r="BKH8" s="216"/>
      <c r="BKI8" s="216"/>
      <c r="BKJ8" s="216"/>
      <c r="BKK8" s="216"/>
      <c r="BKL8" s="216"/>
      <c r="BKM8" s="216"/>
      <c r="BKN8" s="216"/>
      <c r="BKO8" s="216"/>
      <c r="BKP8" s="216"/>
      <c r="BKQ8" s="216"/>
      <c r="BKR8" s="216"/>
      <c r="BKS8" s="216"/>
      <c r="BKT8" s="216"/>
      <c r="BKU8" s="216"/>
      <c r="BKV8" s="216"/>
      <c r="BKW8" s="216"/>
      <c r="BKX8" s="216"/>
      <c r="BKY8" s="216"/>
      <c r="BKZ8" s="216"/>
      <c r="BLA8" s="216"/>
      <c r="BLB8" s="216"/>
      <c r="BLC8" s="216"/>
      <c r="BLD8" s="216"/>
      <c r="BLE8" s="216"/>
      <c r="BLF8" s="216"/>
      <c r="BLG8" s="216"/>
      <c r="BLH8" s="216"/>
      <c r="BLI8" s="216"/>
      <c r="BLJ8" s="216"/>
      <c r="BLK8" s="216"/>
      <c r="BLL8" s="216"/>
      <c r="BLM8" s="216"/>
      <c r="BLN8" s="216"/>
      <c r="BLO8" s="216"/>
      <c r="BLP8" s="216"/>
      <c r="BLQ8" s="216"/>
      <c r="BLR8" s="216"/>
      <c r="BLS8" s="216"/>
      <c r="BLT8" s="216"/>
      <c r="BLU8" s="216"/>
      <c r="BLV8" s="216"/>
      <c r="BLW8" s="216"/>
      <c r="BLX8" s="216"/>
      <c r="BLY8" s="216"/>
      <c r="BLZ8" s="216"/>
      <c r="BMA8" s="216"/>
      <c r="BMB8" s="216"/>
      <c r="BMC8" s="216"/>
      <c r="BMD8" s="216"/>
      <c r="BME8" s="216"/>
      <c r="BMF8" s="216"/>
      <c r="BMG8" s="216"/>
      <c r="BMH8" s="216"/>
      <c r="BMI8" s="216"/>
      <c r="BMJ8" s="216"/>
      <c r="BMK8" s="216"/>
      <c r="BML8" s="216"/>
      <c r="BMM8" s="216"/>
      <c r="BMN8" s="216"/>
      <c r="BMO8" s="216"/>
      <c r="BMP8" s="216"/>
      <c r="BMQ8" s="216"/>
      <c r="BMR8" s="216"/>
      <c r="BMS8" s="216"/>
      <c r="BMT8" s="216"/>
      <c r="BMU8" s="216"/>
      <c r="BMV8" s="216"/>
      <c r="BMW8" s="216"/>
      <c r="BMX8" s="216"/>
      <c r="BMY8" s="216"/>
      <c r="BMZ8" s="216"/>
      <c r="BNA8" s="216"/>
      <c r="BNB8" s="216"/>
      <c r="BNC8" s="216"/>
      <c r="BND8" s="216"/>
      <c r="BNE8" s="216"/>
      <c r="BNF8" s="216"/>
      <c r="BNG8" s="216"/>
      <c r="BNH8" s="216"/>
      <c r="BNI8" s="216"/>
      <c r="BNJ8" s="216"/>
      <c r="BNK8" s="216"/>
      <c r="BNL8" s="216"/>
      <c r="BNM8" s="216"/>
      <c r="BNN8" s="216"/>
      <c r="BNO8" s="216"/>
      <c r="BNP8" s="216"/>
      <c r="BNQ8" s="216"/>
      <c r="BNR8" s="216"/>
      <c r="BNS8" s="216"/>
      <c r="BNT8" s="216"/>
      <c r="BNU8" s="216"/>
      <c r="BNV8" s="216"/>
      <c r="BNW8" s="216"/>
      <c r="BNX8" s="216"/>
      <c r="BNY8" s="216"/>
      <c r="BNZ8" s="216"/>
      <c r="BOA8" s="216"/>
      <c r="BOB8" s="216"/>
      <c r="BOC8" s="216"/>
      <c r="BOD8" s="216"/>
      <c r="BOE8" s="216"/>
      <c r="BOF8" s="216"/>
      <c r="BOG8" s="216"/>
      <c r="BOH8" s="216"/>
      <c r="BOI8" s="216"/>
      <c r="BOJ8" s="216"/>
      <c r="BOK8" s="216"/>
      <c r="BOL8" s="216"/>
      <c r="BOM8" s="216"/>
      <c r="BON8" s="216"/>
      <c r="BOO8" s="216"/>
      <c r="BOP8" s="216"/>
      <c r="BOQ8" s="216"/>
      <c r="BOR8" s="216"/>
      <c r="BOS8" s="216"/>
      <c r="BOT8" s="216"/>
      <c r="BOU8" s="216"/>
      <c r="BOV8" s="216"/>
      <c r="BOW8" s="216"/>
      <c r="BOX8" s="216"/>
      <c r="BOY8" s="216"/>
      <c r="BOZ8" s="216"/>
      <c r="BPA8" s="216"/>
      <c r="BPB8" s="216"/>
      <c r="BPC8" s="216"/>
      <c r="BPD8" s="216"/>
      <c r="BPE8" s="216"/>
      <c r="BPF8" s="216"/>
      <c r="BPG8" s="216"/>
      <c r="BPH8" s="216"/>
      <c r="BPI8" s="216"/>
      <c r="BPJ8" s="216"/>
      <c r="BPK8" s="216"/>
      <c r="BPL8" s="216"/>
      <c r="BPM8" s="216"/>
      <c r="BPN8" s="216"/>
      <c r="BPO8" s="216"/>
      <c r="BPP8" s="216"/>
      <c r="BPQ8" s="216"/>
      <c r="BPR8" s="216"/>
      <c r="BPS8" s="216"/>
      <c r="BPT8" s="216"/>
      <c r="BPU8" s="216"/>
      <c r="BPV8" s="216"/>
      <c r="BPW8" s="216"/>
      <c r="BPX8" s="216"/>
      <c r="BPY8" s="216"/>
      <c r="BPZ8" s="216"/>
      <c r="BQA8" s="216"/>
      <c r="BQB8" s="216"/>
      <c r="BQC8" s="216"/>
      <c r="BQD8" s="216"/>
      <c r="BQE8" s="216"/>
      <c r="BQF8" s="216"/>
      <c r="BQG8" s="216"/>
      <c r="BQH8" s="216"/>
      <c r="BQI8" s="216"/>
      <c r="BQJ8" s="216"/>
      <c r="BQK8" s="216"/>
      <c r="BQL8" s="216"/>
      <c r="BQM8" s="216"/>
      <c r="BQN8" s="216"/>
      <c r="BQO8" s="216"/>
      <c r="BQP8" s="216"/>
      <c r="BQQ8" s="216"/>
      <c r="BQR8" s="216"/>
      <c r="BQS8" s="216"/>
      <c r="BQT8" s="216"/>
      <c r="BQU8" s="216"/>
      <c r="BQV8" s="216"/>
      <c r="BQW8" s="216"/>
      <c r="BQX8" s="216"/>
      <c r="BQY8" s="216"/>
      <c r="BQZ8" s="216"/>
      <c r="BRA8" s="216"/>
      <c r="BRB8" s="216"/>
      <c r="BRC8" s="216"/>
      <c r="BRD8" s="216"/>
      <c r="BRE8" s="216"/>
      <c r="BRF8" s="216"/>
      <c r="BRG8" s="216"/>
      <c r="BRH8" s="216"/>
      <c r="BRI8" s="216"/>
      <c r="BRJ8" s="216"/>
      <c r="BRK8" s="216"/>
      <c r="BRL8" s="216"/>
      <c r="BRM8" s="216"/>
      <c r="BRN8" s="216"/>
      <c r="BRO8" s="216"/>
      <c r="BRP8" s="216"/>
      <c r="BRQ8" s="216"/>
      <c r="BRR8" s="216"/>
      <c r="BRS8" s="216"/>
      <c r="BRT8" s="216"/>
      <c r="BRU8" s="216"/>
      <c r="BRV8" s="216"/>
      <c r="BRW8" s="216"/>
      <c r="BRX8" s="216"/>
      <c r="BRY8" s="216"/>
      <c r="BRZ8" s="216"/>
      <c r="BSA8" s="216"/>
      <c r="BSB8" s="216"/>
      <c r="BSC8" s="216"/>
      <c r="BSD8" s="216"/>
      <c r="BSE8" s="216"/>
      <c r="BSF8" s="216"/>
      <c r="BSG8" s="216"/>
      <c r="BSH8" s="216"/>
      <c r="BSI8" s="216"/>
      <c r="BSJ8" s="216"/>
      <c r="BSK8" s="216"/>
      <c r="BSL8" s="216"/>
      <c r="BSM8" s="216"/>
      <c r="BSN8" s="216"/>
      <c r="BSO8" s="216"/>
      <c r="BSP8" s="216"/>
      <c r="BSQ8" s="216"/>
      <c r="BSR8" s="216"/>
      <c r="BSS8" s="216"/>
      <c r="BST8" s="216"/>
      <c r="BSU8" s="216"/>
      <c r="BSV8" s="216"/>
      <c r="BSW8" s="216"/>
      <c r="BSX8" s="216"/>
      <c r="BSY8" s="216"/>
      <c r="BSZ8" s="216"/>
      <c r="BTA8" s="216"/>
      <c r="BTB8" s="216"/>
      <c r="BTC8" s="216"/>
      <c r="BTD8" s="216"/>
      <c r="BTE8" s="216"/>
      <c r="BTF8" s="216"/>
      <c r="BTG8" s="216"/>
      <c r="BTH8" s="216"/>
      <c r="BTI8" s="216"/>
      <c r="BTJ8" s="216"/>
      <c r="BTK8" s="216"/>
      <c r="BTL8" s="216"/>
      <c r="BTM8" s="216"/>
      <c r="BTN8" s="216"/>
      <c r="BTO8" s="216"/>
      <c r="BTP8" s="216"/>
      <c r="BTQ8" s="216"/>
      <c r="BTR8" s="216"/>
      <c r="BTS8" s="216"/>
      <c r="BTT8" s="216"/>
      <c r="BTU8" s="216"/>
      <c r="BTV8" s="216"/>
      <c r="BTW8" s="216"/>
      <c r="BTX8" s="216"/>
      <c r="BTY8" s="216"/>
      <c r="BTZ8" s="216"/>
      <c r="BUA8" s="216"/>
      <c r="BUB8" s="216"/>
      <c r="BUC8" s="216"/>
      <c r="BUD8" s="216"/>
      <c r="BUE8" s="216"/>
      <c r="BUF8" s="216"/>
      <c r="BUG8" s="216"/>
      <c r="BUH8" s="216"/>
      <c r="BUI8" s="216"/>
      <c r="BUJ8" s="216"/>
      <c r="BUK8" s="216"/>
      <c r="BUL8" s="216"/>
      <c r="BUM8" s="216"/>
      <c r="BUN8" s="216"/>
      <c r="BUO8" s="216"/>
      <c r="BUP8" s="216"/>
      <c r="BUQ8" s="216"/>
      <c r="BUR8" s="216"/>
      <c r="BUS8" s="216"/>
      <c r="BUT8" s="216"/>
      <c r="BUU8" s="216"/>
      <c r="BUV8" s="216"/>
      <c r="BUW8" s="216"/>
      <c r="BUX8" s="216"/>
      <c r="BUY8" s="216"/>
      <c r="BUZ8" s="216"/>
      <c r="BVA8" s="216"/>
      <c r="BVB8" s="216"/>
      <c r="BVC8" s="216"/>
      <c r="BVD8" s="216"/>
      <c r="BVE8" s="216"/>
      <c r="BVF8" s="216"/>
      <c r="BVG8" s="216"/>
      <c r="BVH8" s="216"/>
      <c r="BVI8" s="216"/>
      <c r="BVJ8" s="216"/>
      <c r="BVK8" s="216"/>
      <c r="BVL8" s="216"/>
      <c r="BVM8" s="216"/>
      <c r="BVN8" s="216"/>
      <c r="BVO8" s="216"/>
      <c r="BVP8" s="216"/>
      <c r="BVQ8" s="216"/>
      <c r="BVR8" s="216"/>
      <c r="BVS8" s="216"/>
      <c r="BVT8" s="216"/>
      <c r="BVU8" s="216"/>
      <c r="BVV8" s="216"/>
      <c r="BVW8" s="216"/>
      <c r="BVX8" s="216"/>
      <c r="BVY8" s="216"/>
      <c r="BVZ8" s="216"/>
      <c r="BWA8" s="216"/>
      <c r="BWB8" s="216"/>
      <c r="BWC8" s="216"/>
      <c r="BWD8" s="216"/>
      <c r="BWE8" s="216"/>
      <c r="BWF8" s="216"/>
      <c r="BWG8" s="216"/>
      <c r="BWH8" s="216"/>
      <c r="BWI8" s="216"/>
      <c r="BWJ8" s="216"/>
      <c r="BWK8" s="216"/>
      <c r="BWL8" s="216"/>
      <c r="BWM8" s="216"/>
      <c r="BWN8" s="216"/>
      <c r="BWO8" s="216"/>
      <c r="BWP8" s="216"/>
      <c r="BWQ8" s="216"/>
      <c r="BWR8" s="216"/>
      <c r="BWS8" s="216"/>
      <c r="BWT8" s="216"/>
      <c r="BWU8" s="216"/>
      <c r="BWV8" s="216"/>
      <c r="BWW8" s="216"/>
      <c r="BWX8" s="216"/>
      <c r="BWY8" s="216"/>
      <c r="BWZ8" s="216"/>
      <c r="BXA8" s="216"/>
      <c r="BXB8" s="216"/>
      <c r="BXC8" s="216"/>
      <c r="BXD8" s="216"/>
      <c r="BXE8" s="216"/>
      <c r="BXF8" s="216"/>
      <c r="BXG8" s="216"/>
      <c r="BXH8" s="216"/>
      <c r="BXI8" s="216"/>
      <c r="BXJ8" s="216"/>
      <c r="BXK8" s="216"/>
      <c r="BXL8" s="216"/>
      <c r="BXM8" s="216"/>
      <c r="BXN8" s="216"/>
      <c r="BXO8" s="216"/>
      <c r="BXP8" s="216"/>
      <c r="BXQ8" s="216"/>
      <c r="BXR8" s="216"/>
      <c r="BXS8" s="216"/>
      <c r="BXT8" s="216"/>
      <c r="BXU8" s="216"/>
      <c r="BXV8" s="216"/>
      <c r="BXW8" s="216"/>
      <c r="BXX8" s="216"/>
      <c r="BXY8" s="216"/>
      <c r="BXZ8" s="216"/>
      <c r="BYA8" s="216"/>
      <c r="BYB8" s="216"/>
      <c r="BYC8" s="216"/>
      <c r="BYD8" s="216"/>
      <c r="BYE8" s="216"/>
      <c r="BYF8" s="216"/>
      <c r="BYG8" s="216"/>
      <c r="BYH8" s="216"/>
      <c r="BYI8" s="216"/>
      <c r="BYJ8" s="216"/>
      <c r="BYK8" s="216"/>
      <c r="BYL8" s="216"/>
      <c r="BYM8" s="216"/>
      <c r="BYN8" s="216"/>
      <c r="BYO8" s="216"/>
      <c r="BYP8" s="216"/>
      <c r="BYQ8" s="216"/>
      <c r="BYR8" s="216"/>
      <c r="BYS8" s="216"/>
      <c r="BYT8" s="216"/>
      <c r="BYU8" s="216"/>
      <c r="BYV8" s="216"/>
      <c r="BYW8" s="216"/>
      <c r="BYX8" s="216"/>
      <c r="BYY8" s="216"/>
      <c r="BYZ8" s="216"/>
      <c r="BZA8" s="216"/>
      <c r="BZB8" s="216"/>
      <c r="BZC8" s="216"/>
      <c r="BZD8" s="216"/>
      <c r="BZE8" s="216"/>
      <c r="BZF8" s="216"/>
      <c r="BZG8" s="216"/>
      <c r="BZH8" s="216"/>
      <c r="BZI8" s="216"/>
      <c r="BZJ8" s="216"/>
      <c r="BZK8" s="216"/>
      <c r="BZL8" s="216"/>
      <c r="BZM8" s="216"/>
      <c r="BZN8" s="216"/>
      <c r="BZO8" s="216"/>
      <c r="BZP8" s="216"/>
      <c r="BZQ8" s="216"/>
      <c r="BZR8" s="216"/>
      <c r="BZS8" s="216"/>
      <c r="BZT8" s="216"/>
      <c r="BZU8" s="216"/>
      <c r="BZV8" s="216"/>
      <c r="BZW8" s="216"/>
      <c r="BZX8" s="216"/>
      <c r="BZY8" s="216"/>
      <c r="BZZ8" s="216"/>
      <c r="CAA8" s="216"/>
      <c r="CAB8" s="216"/>
      <c r="CAC8" s="216"/>
      <c r="CAD8" s="216"/>
      <c r="CAE8" s="216"/>
      <c r="CAF8" s="216"/>
      <c r="CAG8" s="216"/>
      <c r="CAH8" s="216"/>
      <c r="CAI8" s="216"/>
      <c r="CAJ8" s="216"/>
      <c r="CAK8" s="216"/>
      <c r="CAL8" s="216"/>
      <c r="CAM8" s="216"/>
      <c r="CAN8" s="216"/>
      <c r="CAO8" s="216"/>
      <c r="CAP8" s="216"/>
      <c r="CAQ8" s="216"/>
      <c r="CAR8" s="216"/>
      <c r="CAS8" s="216"/>
      <c r="CAT8" s="216"/>
      <c r="CAU8" s="216"/>
      <c r="CAV8" s="216"/>
      <c r="CAW8" s="216"/>
      <c r="CAX8" s="216"/>
      <c r="CAY8" s="216"/>
      <c r="CAZ8" s="216"/>
      <c r="CBA8" s="216"/>
      <c r="CBB8" s="216"/>
      <c r="CBC8" s="216"/>
      <c r="CBD8" s="216"/>
      <c r="CBE8" s="216"/>
      <c r="CBF8" s="216"/>
      <c r="CBG8" s="216"/>
      <c r="CBH8" s="216"/>
      <c r="CBI8" s="216"/>
      <c r="CBJ8" s="216"/>
      <c r="CBK8" s="216"/>
      <c r="CBL8" s="216"/>
      <c r="CBM8" s="216"/>
      <c r="CBN8" s="216"/>
      <c r="CBO8" s="216"/>
      <c r="CBP8" s="216"/>
      <c r="CBQ8" s="216"/>
      <c r="CBR8" s="216"/>
      <c r="CBS8" s="216"/>
      <c r="CBT8" s="216"/>
      <c r="CBU8" s="216"/>
      <c r="CBV8" s="216"/>
      <c r="CBW8" s="216"/>
      <c r="CBX8" s="216"/>
      <c r="CBY8" s="216"/>
      <c r="CBZ8" s="216"/>
      <c r="CCA8" s="216"/>
      <c r="CCB8" s="216"/>
      <c r="CCC8" s="216"/>
      <c r="CCD8" s="216"/>
      <c r="CCE8" s="216"/>
      <c r="CCF8" s="216"/>
      <c r="CCG8" s="216"/>
      <c r="CCH8" s="216"/>
      <c r="CCI8" s="216"/>
      <c r="CCJ8" s="216"/>
      <c r="CCK8" s="216"/>
      <c r="CCL8" s="216"/>
      <c r="CCM8" s="216"/>
      <c r="CCN8" s="216"/>
      <c r="CCO8" s="216"/>
      <c r="CCP8" s="216"/>
      <c r="CCQ8" s="216"/>
      <c r="CCR8" s="216"/>
      <c r="CCS8" s="216"/>
      <c r="CCT8" s="216"/>
      <c r="CCU8" s="216"/>
      <c r="CCV8" s="216"/>
      <c r="CCW8" s="216"/>
      <c r="CCX8" s="216"/>
      <c r="CCY8" s="216"/>
      <c r="CCZ8" s="216"/>
      <c r="CDA8" s="216"/>
      <c r="CDB8" s="216"/>
      <c r="CDC8" s="216"/>
      <c r="CDD8" s="216"/>
      <c r="CDE8" s="216"/>
      <c r="CDF8" s="216"/>
      <c r="CDG8" s="216"/>
      <c r="CDH8" s="216"/>
      <c r="CDI8" s="216"/>
      <c r="CDJ8" s="216"/>
      <c r="CDK8" s="216"/>
      <c r="CDL8" s="216"/>
      <c r="CDM8" s="216"/>
      <c r="CDN8" s="216"/>
      <c r="CDO8" s="216"/>
      <c r="CDP8" s="216"/>
      <c r="CDQ8" s="216"/>
      <c r="CDR8" s="216"/>
      <c r="CDS8" s="216"/>
      <c r="CDT8" s="216"/>
      <c r="CDU8" s="216"/>
      <c r="CDV8" s="216"/>
      <c r="CDW8" s="216"/>
      <c r="CDX8" s="216"/>
      <c r="CDY8" s="216"/>
      <c r="CDZ8" s="216"/>
      <c r="CEA8" s="216"/>
      <c r="CEB8" s="216"/>
      <c r="CEC8" s="216"/>
      <c r="CED8" s="216"/>
      <c r="CEE8" s="216"/>
      <c r="CEF8" s="216"/>
      <c r="CEG8" s="216"/>
      <c r="CEH8" s="216"/>
      <c r="CEI8" s="216"/>
      <c r="CEJ8" s="216"/>
      <c r="CEK8" s="216"/>
      <c r="CEL8" s="216"/>
      <c r="CEM8" s="216"/>
      <c r="CEN8" s="216"/>
      <c r="CEO8" s="216"/>
      <c r="CEP8" s="216"/>
      <c r="CEQ8" s="216"/>
      <c r="CER8" s="216"/>
      <c r="CES8" s="216"/>
      <c r="CET8" s="216"/>
      <c r="CEU8" s="216"/>
      <c r="CEV8" s="216"/>
      <c r="CEW8" s="216"/>
      <c r="CEX8" s="216"/>
      <c r="CEY8" s="216"/>
      <c r="CEZ8" s="216"/>
      <c r="CFA8" s="216"/>
      <c r="CFB8" s="216"/>
      <c r="CFC8" s="216"/>
      <c r="CFD8" s="216"/>
      <c r="CFE8" s="216"/>
      <c r="CFF8" s="216"/>
      <c r="CFG8" s="216"/>
      <c r="CFH8" s="216"/>
      <c r="CFI8" s="216"/>
      <c r="CFJ8" s="216"/>
      <c r="CFK8" s="216"/>
      <c r="CFL8" s="216"/>
      <c r="CFM8" s="216"/>
      <c r="CFN8" s="216"/>
      <c r="CFO8" s="216"/>
      <c r="CFP8" s="216"/>
      <c r="CFQ8" s="216"/>
      <c r="CFR8" s="216"/>
      <c r="CFS8" s="216"/>
      <c r="CFT8" s="216"/>
      <c r="CFU8" s="216"/>
      <c r="CFV8" s="216"/>
      <c r="CFW8" s="216"/>
      <c r="CFX8" s="216"/>
      <c r="CFY8" s="216"/>
      <c r="CFZ8" s="216"/>
      <c r="CGA8" s="216"/>
      <c r="CGB8" s="216"/>
      <c r="CGC8" s="216"/>
      <c r="CGD8" s="216"/>
      <c r="CGE8" s="216"/>
      <c r="CGF8" s="216"/>
      <c r="CGG8" s="216"/>
      <c r="CGH8" s="216"/>
      <c r="CGI8" s="216"/>
      <c r="CGJ8" s="216"/>
      <c r="CGK8" s="216"/>
      <c r="CGL8" s="216"/>
      <c r="CGM8" s="216"/>
      <c r="CGN8" s="216"/>
      <c r="CGO8" s="216"/>
      <c r="CGP8" s="216"/>
      <c r="CGQ8" s="216"/>
      <c r="CGR8" s="216"/>
      <c r="CGS8" s="216"/>
      <c r="CGT8" s="216"/>
      <c r="CGU8" s="216"/>
      <c r="CGV8" s="216"/>
      <c r="CGW8" s="216"/>
      <c r="CGX8" s="216"/>
      <c r="CGY8" s="216"/>
      <c r="CGZ8" s="216"/>
      <c r="CHA8" s="216"/>
      <c r="CHB8" s="216"/>
      <c r="CHC8" s="216"/>
      <c r="CHD8" s="216"/>
      <c r="CHE8" s="216"/>
      <c r="CHF8" s="216"/>
      <c r="CHG8" s="216"/>
      <c r="CHH8" s="216"/>
      <c r="CHI8" s="216"/>
      <c r="CHJ8" s="216"/>
      <c r="CHK8" s="216"/>
      <c r="CHL8" s="216"/>
      <c r="CHM8" s="216"/>
      <c r="CHN8" s="216"/>
      <c r="CHO8" s="216"/>
      <c r="CHP8" s="216"/>
      <c r="CHQ8" s="216"/>
      <c r="CHR8" s="216"/>
      <c r="CHS8" s="216"/>
      <c r="CHT8" s="216"/>
      <c r="CHU8" s="216"/>
      <c r="CHV8" s="216"/>
      <c r="CHW8" s="216"/>
      <c r="CHX8" s="216"/>
      <c r="CHY8" s="216"/>
      <c r="CHZ8" s="216"/>
      <c r="CIA8" s="216"/>
      <c r="CIB8" s="216"/>
      <c r="CIC8" s="216"/>
      <c r="CID8" s="216"/>
      <c r="CIE8" s="216"/>
      <c r="CIF8" s="216"/>
      <c r="CIG8" s="216"/>
      <c r="CIH8" s="216"/>
      <c r="CII8" s="216"/>
      <c r="CIJ8" s="216"/>
      <c r="CIK8" s="216"/>
      <c r="CIL8" s="216"/>
      <c r="CIM8" s="216"/>
      <c r="CIN8" s="216"/>
      <c r="CIO8" s="216"/>
      <c r="CIP8" s="216"/>
      <c r="CIQ8" s="216"/>
      <c r="CIR8" s="216"/>
      <c r="CIS8" s="216"/>
      <c r="CIT8" s="216"/>
      <c r="CIU8" s="216"/>
      <c r="CIV8" s="216"/>
      <c r="CIW8" s="216"/>
      <c r="CIX8" s="216"/>
      <c r="CIY8" s="216"/>
      <c r="CIZ8" s="216"/>
      <c r="CJA8" s="216"/>
      <c r="CJB8" s="216"/>
      <c r="CJC8" s="216"/>
      <c r="CJD8" s="216"/>
      <c r="CJE8" s="216"/>
      <c r="CJF8" s="216"/>
      <c r="CJG8" s="216"/>
      <c r="CJH8" s="216"/>
      <c r="CJI8" s="216"/>
      <c r="CJJ8" s="216"/>
      <c r="CJK8" s="216"/>
      <c r="CJL8" s="216"/>
      <c r="CJM8" s="216"/>
      <c r="CJN8" s="216"/>
      <c r="CJO8" s="216"/>
      <c r="CJP8" s="216"/>
      <c r="CJQ8" s="216"/>
      <c r="CJR8" s="216"/>
      <c r="CJS8" s="216"/>
      <c r="CJT8" s="216"/>
      <c r="CJU8" s="216"/>
      <c r="CJV8" s="216"/>
      <c r="CJW8" s="216"/>
      <c r="CJX8" s="216"/>
      <c r="CJY8" s="216"/>
      <c r="CJZ8" s="216"/>
      <c r="CKA8" s="216"/>
      <c r="CKB8" s="216"/>
      <c r="CKC8" s="216"/>
      <c r="CKD8" s="216"/>
      <c r="CKE8" s="216"/>
      <c r="CKF8" s="216"/>
      <c r="CKG8" s="216"/>
      <c r="CKH8" s="216"/>
      <c r="CKI8" s="216"/>
      <c r="CKJ8" s="216"/>
      <c r="CKK8" s="216"/>
      <c r="CKL8" s="216"/>
      <c r="CKM8" s="216"/>
      <c r="CKN8" s="216"/>
      <c r="CKO8" s="216"/>
      <c r="CKP8" s="216"/>
      <c r="CKQ8" s="216"/>
      <c r="CKR8" s="216"/>
      <c r="CKS8" s="216"/>
      <c r="CKT8" s="216"/>
      <c r="CKU8" s="216"/>
      <c r="CKV8" s="216"/>
      <c r="CKW8" s="216"/>
      <c r="CKX8" s="216"/>
      <c r="CKY8" s="216"/>
      <c r="CKZ8" s="216"/>
      <c r="CLA8" s="216"/>
      <c r="CLB8" s="216"/>
      <c r="CLC8" s="216"/>
      <c r="CLD8" s="216"/>
      <c r="CLE8" s="216"/>
      <c r="CLF8" s="216"/>
      <c r="CLG8" s="216"/>
      <c r="CLH8" s="216"/>
      <c r="CLI8" s="216"/>
      <c r="CLJ8" s="216"/>
      <c r="CLK8" s="216"/>
      <c r="CLL8" s="216"/>
      <c r="CLM8" s="216"/>
      <c r="CLN8" s="216"/>
      <c r="CLO8" s="216"/>
      <c r="CLP8" s="216"/>
      <c r="CLQ8" s="216"/>
      <c r="CLR8" s="216"/>
      <c r="CLS8" s="216"/>
      <c r="CLT8" s="216"/>
      <c r="CLU8" s="216"/>
      <c r="CLV8" s="216"/>
      <c r="CLW8" s="216"/>
      <c r="CLX8" s="216"/>
      <c r="CLY8" s="216"/>
      <c r="CLZ8" s="216"/>
      <c r="CMA8" s="216"/>
      <c r="CMB8" s="216"/>
      <c r="CMC8" s="216"/>
      <c r="CMD8" s="216"/>
      <c r="CME8" s="216"/>
      <c r="CMF8" s="216"/>
      <c r="CMG8" s="216"/>
      <c r="CMH8" s="216"/>
      <c r="CMI8" s="216"/>
      <c r="CMJ8" s="216"/>
      <c r="CMK8" s="216"/>
      <c r="CML8" s="216"/>
      <c r="CMM8" s="216"/>
      <c r="CMN8" s="216"/>
      <c r="CMO8" s="216"/>
      <c r="CMP8" s="216"/>
      <c r="CMQ8" s="216"/>
      <c r="CMR8" s="216"/>
      <c r="CMS8" s="216"/>
      <c r="CMT8" s="216"/>
      <c r="CMU8" s="216"/>
      <c r="CMV8" s="216"/>
      <c r="CMW8" s="216"/>
      <c r="CMX8" s="216"/>
      <c r="CMY8" s="216"/>
      <c r="CMZ8" s="216"/>
      <c r="CNA8" s="216"/>
      <c r="CNB8" s="216"/>
      <c r="CNC8" s="216"/>
      <c r="CND8" s="216"/>
      <c r="CNE8" s="216"/>
      <c r="CNF8" s="216"/>
      <c r="CNG8" s="216"/>
      <c r="CNH8" s="216"/>
      <c r="CNI8" s="216"/>
      <c r="CNJ8" s="216"/>
      <c r="CNK8" s="216"/>
      <c r="CNL8" s="216"/>
      <c r="CNM8" s="216"/>
      <c r="CNN8" s="216"/>
      <c r="CNO8" s="216"/>
      <c r="CNP8" s="216"/>
      <c r="CNQ8" s="216"/>
      <c r="CNR8" s="216"/>
      <c r="CNS8" s="216"/>
      <c r="CNT8" s="216"/>
      <c r="CNU8" s="216"/>
      <c r="CNV8" s="216"/>
      <c r="CNW8" s="216"/>
      <c r="CNX8" s="216"/>
      <c r="CNY8" s="216"/>
      <c r="CNZ8" s="216"/>
      <c r="COA8" s="216"/>
      <c r="COB8" s="216"/>
      <c r="COC8" s="216"/>
      <c r="COD8" s="216"/>
      <c r="COE8" s="216"/>
      <c r="COF8" s="216"/>
      <c r="COG8" s="216"/>
      <c r="COH8" s="216"/>
      <c r="COI8" s="216"/>
      <c r="COJ8" s="216"/>
      <c r="COK8" s="216"/>
      <c r="COL8" s="216"/>
      <c r="COM8" s="216"/>
      <c r="CON8" s="216"/>
      <c r="COO8" s="216"/>
      <c r="COP8" s="216"/>
      <c r="COQ8" s="216"/>
      <c r="COR8" s="216"/>
      <c r="COS8" s="216"/>
      <c r="COT8" s="216"/>
      <c r="COU8" s="216"/>
      <c r="COV8" s="216"/>
      <c r="COW8" s="216"/>
      <c r="COX8" s="216"/>
      <c r="COY8" s="216"/>
      <c r="COZ8" s="216"/>
      <c r="CPA8" s="216"/>
      <c r="CPB8" s="216"/>
      <c r="CPC8" s="216"/>
      <c r="CPD8" s="216"/>
      <c r="CPE8" s="216"/>
      <c r="CPF8" s="216"/>
      <c r="CPG8" s="216"/>
      <c r="CPH8" s="216"/>
      <c r="CPI8" s="216"/>
      <c r="CPJ8" s="216"/>
      <c r="CPK8" s="216"/>
      <c r="CPL8" s="216"/>
      <c r="CPM8" s="216"/>
      <c r="CPN8" s="216"/>
      <c r="CPO8" s="216"/>
      <c r="CPP8" s="216"/>
      <c r="CPQ8" s="216"/>
      <c r="CPR8" s="216"/>
      <c r="CPS8" s="216"/>
      <c r="CPT8" s="216"/>
      <c r="CPU8" s="216"/>
      <c r="CPV8" s="216"/>
      <c r="CPW8" s="216"/>
      <c r="CPX8" s="216"/>
      <c r="CPY8" s="216"/>
      <c r="CPZ8" s="216"/>
      <c r="CQA8" s="216"/>
      <c r="CQB8" s="216"/>
      <c r="CQC8" s="216"/>
      <c r="CQD8" s="216"/>
      <c r="CQE8" s="216"/>
      <c r="CQF8" s="216"/>
      <c r="CQG8" s="216"/>
      <c r="CQH8" s="216"/>
      <c r="CQI8" s="216"/>
      <c r="CQJ8" s="216"/>
      <c r="CQK8" s="216"/>
      <c r="CQL8" s="216"/>
      <c r="CQM8" s="216"/>
      <c r="CQN8" s="216"/>
      <c r="CQO8" s="216"/>
      <c r="CQP8" s="216"/>
      <c r="CQQ8" s="216"/>
      <c r="CQR8" s="216"/>
      <c r="CQS8" s="216"/>
      <c r="CQT8" s="216"/>
      <c r="CQU8" s="216"/>
      <c r="CQV8" s="216"/>
      <c r="CQW8" s="216"/>
      <c r="CQX8" s="216"/>
      <c r="CQY8" s="216"/>
      <c r="CQZ8" s="216"/>
      <c r="CRA8" s="216"/>
      <c r="CRB8" s="216"/>
      <c r="CRC8" s="216"/>
      <c r="CRD8" s="216"/>
      <c r="CRE8" s="216"/>
      <c r="CRF8" s="216"/>
      <c r="CRG8" s="216"/>
      <c r="CRH8" s="216"/>
      <c r="CRI8" s="216"/>
      <c r="CRJ8" s="216"/>
      <c r="CRK8" s="216"/>
      <c r="CRL8" s="216"/>
      <c r="CRM8" s="216"/>
      <c r="CRN8" s="216"/>
      <c r="CRO8" s="216"/>
      <c r="CRP8" s="216"/>
      <c r="CRQ8" s="216"/>
      <c r="CRR8" s="216"/>
      <c r="CRS8" s="216"/>
      <c r="CRT8" s="216"/>
      <c r="CRU8" s="216"/>
      <c r="CRV8" s="216"/>
      <c r="CRW8" s="216"/>
      <c r="CRX8" s="216"/>
      <c r="CRY8" s="216"/>
      <c r="CRZ8" s="216"/>
      <c r="CSA8" s="216"/>
      <c r="CSB8" s="216"/>
      <c r="CSC8" s="216"/>
      <c r="CSD8" s="216"/>
      <c r="CSE8" s="216"/>
      <c r="CSF8" s="216"/>
      <c r="CSG8" s="216"/>
      <c r="CSH8" s="216"/>
      <c r="CSI8" s="216"/>
      <c r="CSJ8" s="216"/>
      <c r="CSK8" s="216"/>
      <c r="CSL8" s="216"/>
      <c r="CSM8" s="216"/>
      <c r="CSN8" s="216"/>
      <c r="CSO8" s="216"/>
      <c r="CSP8" s="216"/>
      <c r="CSQ8" s="216"/>
      <c r="CSR8" s="216"/>
      <c r="CSS8" s="216"/>
      <c r="CST8" s="216"/>
      <c r="CSU8" s="216"/>
      <c r="CSV8" s="216"/>
      <c r="CSW8" s="216"/>
      <c r="CSX8" s="216"/>
      <c r="CSY8" s="216"/>
      <c r="CSZ8" s="216"/>
      <c r="CTA8" s="216"/>
      <c r="CTB8" s="216"/>
      <c r="CTC8" s="216"/>
      <c r="CTD8" s="216"/>
      <c r="CTE8" s="216"/>
      <c r="CTF8" s="216"/>
      <c r="CTG8" s="216"/>
      <c r="CTH8" s="216"/>
      <c r="CTI8" s="216"/>
      <c r="CTJ8" s="216"/>
      <c r="CTK8" s="216"/>
      <c r="CTL8" s="216"/>
      <c r="CTM8" s="216"/>
      <c r="CTN8" s="216"/>
      <c r="CTO8" s="216"/>
      <c r="CTP8" s="216"/>
      <c r="CTQ8" s="216"/>
      <c r="CTR8" s="216"/>
      <c r="CTS8" s="216"/>
      <c r="CTT8" s="216"/>
      <c r="CTU8" s="216"/>
      <c r="CTV8" s="216"/>
      <c r="CTW8" s="216"/>
      <c r="CTX8" s="216"/>
      <c r="CTY8" s="216"/>
      <c r="CTZ8" s="216"/>
      <c r="CUA8" s="216"/>
      <c r="CUB8" s="216"/>
      <c r="CUC8" s="216"/>
      <c r="CUD8" s="216"/>
      <c r="CUE8" s="216"/>
      <c r="CUF8" s="216"/>
      <c r="CUG8" s="216"/>
      <c r="CUH8" s="216"/>
      <c r="CUI8" s="216"/>
      <c r="CUJ8" s="216"/>
      <c r="CUK8" s="216"/>
      <c r="CUL8" s="216"/>
      <c r="CUM8" s="216"/>
      <c r="CUN8" s="216"/>
      <c r="CUO8" s="216"/>
      <c r="CUP8" s="216"/>
      <c r="CUQ8" s="216"/>
      <c r="CUR8" s="216"/>
      <c r="CUS8" s="216"/>
      <c r="CUT8" s="216"/>
      <c r="CUU8" s="216"/>
      <c r="CUV8" s="216"/>
      <c r="CUW8" s="216"/>
      <c r="CUX8" s="216"/>
      <c r="CUY8" s="216"/>
      <c r="CUZ8" s="216"/>
      <c r="CVA8" s="216"/>
      <c r="CVB8" s="216"/>
      <c r="CVC8" s="216"/>
      <c r="CVD8" s="216"/>
      <c r="CVE8" s="216"/>
      <c r="CVF8" s="216"/>
      <c r="CVG8" s="216"/>
      <c r="CVH8" s="216"/>
      <c r="CVI8" s="216"/>
      <c r="CVJ8" s="216"/>
      <c r="CVK8" s="216"/>
      <c r="CVL8" s="216"/>
      <c r="CVM8" s="216"/>
      <c r="CVN8" s="216"/>
      <c r="CVO8" s="216"/>
      <c r="CVP8" s="216"/>
      <c r="CVQ8" s="216"/>
      <c r="CVR8" s="216"/>
      <c r="CVS8" s="216"/>
      <c r="CVT8" s="216"/>
      <c r="CVU8" s="216"/>
      <c r="CVV8" s="216"/>
      <c r="CVW8" s="216"/>
      <c r="CVX8" s="216"/>
      <c r="CVY8" s="216"/>
      <c r="CVZ8" s="216"/>
      <c r="CWA8" s="216"/>
      <c r="CWB8" s="216"/>
      <c r="CWC8" s="216"/>
      <c r="CWD8" s="216"/>
      <c r="CWE8" s="216"/>
      <c r="CWF8" s="216"/>
      <c r="CWG8" s="216"/>
      <c r="CWH8" s="216"/>
      <c r="CWI8" s="216"/>
      <c r="CWJ8" s="216"/>
      <c r="CWK8" s="216"/>
      <c r="CWL8" s="216"/>
      <c r="CWM8" s="216"/>
      <c r="CWN8" s="216"/>
      <c r="CWO8" s="216"/>
      <c r="CWP8" s="216"/>
      <c r="CWQ8" s="216"/>
      <c r="CWR8" s="216"/>
      <c r="CWS8" s="216"/>
      <c r="CWT8" s="216"/>
      <c r="CWU8" s="216"/>
      <c r="CWV8" s="216"/>
      <c r="CWW8" s="216"/>
      <c r="CWX8" s="216"/>
      <c r="CWY8" s="216"/>
      <c r="CWZ8" s="216"/>
      <c r="CXA8" s="216"/>
      <c r="CXB8" s="216"/>
      <c r="CXC8" s="216"/>
      <c r="CXD8" s="216"/>
      <c r="CXE8" s="216"/>
      <c r="CXF8" s="216"/>
      <c r="CXG8" s="216"/>
      <c r="CXH8" s="216"/>
      <c r="CXI8" s="216"/>
      <c r="CXJ8" s="216"/>
      <c r="CXK8" s="216"/>
      <c r="CXL8" s="216"/>
      <c r="CXM8" s="216"/>
      <c r="CXN8" s="216"/>
      <c r="CXO8" s="216"/>
      <c r="CXP8" s="216"/>
      <c r="CXQ8" s="216"/>
      <c r="CXR8" s="216"/>
      <c r="CXS8" s="216"/>
      <c r="CXT8" s="216"/>
      <c r="CXU8" s="216"/>
      <c r="CXV8" s="216"/>
      <c r="CXW8" s="216"/>
      <c r="CXX8" s="216"/>
      <c r="CXY8" s="216"/>
      <c r="CXZ8" s="216"/>
      <c r="CYA8" s="216"/>
      <c r="CYB8" s="216"/>
      <c r="CYC8" s="216"/>
      <c r="CYD8" s="216"/>
      <c r="CYE8" s="216"/>
      <c r="CYF8" s="216"/>
      <c r="CYG8" s="216"/>
      <c r="CYH8" s="216"/>
      <c r="CYI8" s="216"/>
      <c r="CYJ8" s="216"/>
      <c r="CYK8" s="216"/>
      <c r="CYL8" s="216"/>
      <c r="CYM8" s="216"/>
      <c r="CYN8" s="216"/>
      <c r="CYO8" s="216"/>
      <c r="CYP8" s="216"/>
      <c r="CYQ8" s="216"/>
      <c r="CYR8" s="216"/>
      <c r="CYS8" s="216"/>
      <c r="CYT8" s="216"/>
      <c r="CYU8" s="216"/>
      <c r="CYV8" s="216"/>
      <c r="CYW8" s="216"/>
      <c r="CYX8" s="216"/>
      <c r="CYY8" s="216"/>
      <c r="CYZ8" s="216"/>
      <c r="CZA8" s="216"/>
      <c r="CZB8" s="216"/>
      <c r="CZC8" s="216"/>
      <c r="CZD8" s="216"/>
      <c r="CZE8" s="216"/>
      <c r="CZF8" s="216"/>
      <c r="CZG8" s="216"/>
      <c r="CZH8" s="216"/>
      <c r="CZI8" s="216"/>
      <c r="CZJ8" s="216"/>
      <c r="CZK8" s="216"/>
      <c r="CZL8" s="216"/>
      <c r="CZM8" s="216"/>
      <c r="CZN8" s="216"/>
      <c r="CZO8" s="216"/>
      <c r="CZP8" s="216"/>
      <c r="CZQ8" s="216"/>
      <c r="CZR8" s="216"/>
      <c r="CZS8" s="216"/>
      <c r="CZT8" s="216"/>
      <c r="CZU8" s="216"/>
      <c r="CZV8" s="216"/>
      <c r="CZW8" s="216"/>
      <c r="CZX8" s="216"/>
      <c r="CZY8" s="216"/>
      <c r="CZZ8" s="216"/>
      <c r="DAA8" s="216"/>
      <c r="DAB8" s="216"/>
      <c r="DAC8" s="216"/>
      <c r="DAD8" s="216"/>
      <c r="DAE8" s="216"/>
      <c r="DAF8" s="216"/>
      <c r="DAG8" s="216"/>
      <c r="DAH8" s="216"/>
      <c r="DAI8" s="216"/>
      <c r="DAJ8" s="216"/>
      <c r="DAK8" s="216"/>
      <c r="DAL8" s="216"/>
      <c r="DAM8" s="216"/>
      <c r="DAN8" s="216"/>
      <c r="DAO8" s="216"/>
      <c r="DAP8" s="216"/>
      <c r="DAQ8" s="216"/>
      <c r="DAR8" s="216"/>
      <c r="DAS8" s="216"/>
      <c r="DAT8" s="216"/>
      <c r="DAU8" s="216"/>
      <c r="DAV8" s="216"/>
      <c r="DAW8" s="216"/>
      <c r="DAX8" s="216"/>
      <c r="DAY8" s="216"/>
      <c r="DAZ8" s="216"/>
      <c r="DBA8" s="216"/>
      <c r="DBB8" s="216"/>
      <c r="DBC8" s="216"/>
      <c r="DBD8" s="216"/>
      <c r="DBE8" s="216"/>
      <c r="DBF8" s="216"/>
      <c r="DBG8" s="216"/>
      <c r="DBH8" s="216"/>
      <c r="DBI8" s="216"/>
      <c r="DBJ8" s="216"/>
      <c r="DBK8" s="216"/>
      <c r="DBL8" s="216"/>
      <c r="DBM8" s="216"/>
      <c r="DBN8" s="216"/>
      <c r="DBO8" s="216"/>
      <c r="DBP8" s="216"/>
      <c r="DBQ8" s="216"/>
      <c r="DBR8" s="216"/>
      <c r="DBS8" s="216"/>
      <c r="DBT8" s="216"/>
      <c r="DBU8" s="216"/>
      <c r="DBV8" s="216"/>
      <c r="DBW8" s="216"/>
      <c r="DBX8" s="216"/>
      <c r="DBY8" s="216"/>
      <c r="DBZ8" s="216"/>
      <c r="DCA8" s="216"/>
      <c r="DCB8" s="216"/>
      <c r="DCC8" s="216"/>
      <c r="DCD8" s="216"/>
      <c r="DCE8" s="216"/>
      <c r="DCF8" s="216"/>
      <c r="DCG8" s="216"/>
      <c r="DCH8" s="216"/>
      <c r="DCI8" s="216"/>
      <c r="DCJ8" s="216"/>
      <c r="DCK8" s="216"/>
      <c r="DCL8" s="216"/>
      <c r="DCM8" s="216"/>
      <c r="DCN8" s="216"/>
      <c r="DCO8" s="216"/>
      <c r="DCP8" s="216"/>
      <c r="DCQ8" s="216"/>
      <c r="DCR8" s="216"/>
      <c r="DCS8" s="216"/>
      <c r="DCT8" s="216"/>
      <c r="DCU8" s="216"/>
      <c r="DCV8" s="216"/>
      <c r="DCW8" s="216"/>
      <c r="DCX8" s="216"/>
      <c r="DCY8" s="216"/>
      <c r="DCZ8" s="216"/>
      <c r="DDA8" s="216"/>
      <c r="DDB8" s="216"/>
      <c r="DDC8" s="216"/>
      <c r="DDD8" s="216"/>
      <c r="DDE8" s="216"/>
      <c r="DDF8" s="216"/>
      <c r="DDG8" s="216"/>
      <c r="DDH8" s="216"/>
      <c r="DDI8" s="216"/>
      <c r="DDJ8" s="216"/>
      <c r="DDK8" s="216"/>
      <c r="DDL8" s="216"/>
      <c r="DDM8" s="216"/>
      <c r="DDN8" s="216"/>
      <c r="DDO8" s="216"/>
      <c r="DDP8" s="216"/>
      <c r="DDQ8" s="216"/>
      <c r="DDR8" s="216"/>
      <c r="DDS8" s="216"/>
      <c r="DDT8" s="216"/>
      <c r="DDU8" s="216"/>
      <c r="DDV8" s="216"/>
      <c r="DDW8" s="216"/>
      <c r="DDX8" s="216"/>
      <c r="DDY8" s="216"/>
      <c r="DDZ8" s="216"/>
      <c r="DEA8" s="216"/>
      <c r="DEB8" s="216"/>
      <c r="DEC8" s="216"/>
      <c r="DED8" s="216"/>
      <c r="DEE8" s="216"/>
      <c r="DEF8" s="216"/>
      <c r="DEG8" s="216"/>
      <c r="DEH8" s="216"/>
      <c r="DEI8" s="216"/>
      <c r="DEJ8" s="216"/>
      <c r="DEK8" s="216"/>
      <c r="DEL8" s="216"/>
      <c r="DEM8" s="216"/>
      <c r="DEN8" s="216"/>
      <c r="DEO8" s="216"/>
      <c r="DEP8" s="216"/>
      <c r="DEQ8" s="216"/>
      <c r="DER8" s="216"/>
      <c r="DES8" s="216"/>
      <c r="DET8" s="216"/>
      <c r="DEU8" s="216"/>
      <c r="DEV8" s="216"/>
      <c r="DEW8" s="216"/>
      <c r="DEX8" s="216"/>
      <c r="DEY8" s="216"/>
      <c r="DEZ8" s="216"/>
      <c r="DFA8" s="216"/>
      <c r="DFB8" s="216"/>
      <c r="DFC8" s="216"/>
      <c r="DFD8" s="216"/>
      <c r="DFE8" s="216"/>
      <c r="DFF8" s="216"/>
      <c r="DFG8" s="216"/>
      <c r="DFH8" s="216"/>
      <c r="DFI8" s="216"/>
      <c r="DFJ8" s="216"/>
      <c r="DFK8" s="216"/>
      <c r="DFL8" s="216"/>
      <c r="DFM8" s="216"/>
      <c r="DFN8" s="216"/>
      <c r="DFO8" s="216"/>
      <c r="DFP8" s="216"/>
      <c r="DFQ8" s="216"/>
      <c r="DFR8" s="216"/>
      <c r="DFS8" s="216"/>
      <c r="DFT8" s="216"/>
      <c r="DFU8" s="216"/>
      <c r="DFV8" s="216"/>
      <c r="DFW8" s="216"/>
      <c r="DFX8" s="216"/>
      <c r="DFY8" s="216"/>
      <c r="DFZ8" s="216"/>
      <c r="DGA8" s="216"/>
      <c r="DGB8" s="216"/>
      <c r="DGC8" s="216"/>
      <c r="DGD8" s="216"/>
      <c r="DGE8" s="216"/>
      <c r="DGF8" s="216"/>
      <c r="DGG8" s="216"/>
      <c r="DGH8" s="216"/>
      <c r="DGI8" s="216"/>
      <c r="DGJ8" s="216"/>
      <c r="DGK8" s="216"/>
      <c r="DGL8" s="216"/>
      <c r="DGM8" s="216"/>
      <c r="DGN8" s="216"/>
      <c r="DGO8" s="216"/>
      <c r="DGP8" s="216"/>
      <c r="DGQ8" s="216"/>
      <c r="DGR8" s="216"/>
      <c r="DGS8" s="216"/>
      <c r="DGT8" s="216"/>
      <c r="DGU8" s="216"/>
      <c r="DGV8" s="216"/>
      <c r="DGW8" s="216"/>
      <c r="DGX8" s="216"/>
      <c r="DGY8" s="216"/>
      <c r="DGZ8" s="216"/>
      <c r="DHA8" s="216"/>
      <c r="DHB8" s="216"/>
      <c r="DHC8" s="216"/>
      <c r="DHD8" s="216"/>
      <c r="DHE8" s="216"/>
      <c r="DHF8" s="216"/>
      <c r="DHG8" s="216"/>
      <c r="DHH8" s="216"/>
      <c r="DHI8" s="216"/>
      <c r="DHJ8" s="216"/>
      <c r="DHK8" s="216"/>
      <c r="DHL8" s="216"/>
      <c r="DHM8" s="216"/>
      <c r="DHN8" s="216"/>
      <c r="DHO8" s="216"/>
      <c r="DHP8" s="216"/>
      <c r="DHQ8" s="216"/>
      <c r="DHR8" s="216"/>
      <c r="DHS8" s="216"/>
      <c r="DHT8" s="216"/>
      <c r="DHU8" s="216"/>
      <c r="DHV8" s="216"/>
      <c r="DHW8" s="216"/>
      <c r="DHX8" s="216"/>
      <c r="DHY8" s="216"/>
      <c r="DHZ8" s="216"/>
      <c r="DIA8" s="216"/>
      <c r="DIB8" s="216"/>
      <c r="DIC8" s="216"/>
      <c r="DID8" s="216"/>
      <c r="DIE8" s="216"/>
      <c r="DIF8" s="216"/>
      <c r="DIG8" s="216"/>
      <c r="DIH8" s="216"/>
      <c r="DII8" s="216"/>
      <c r="DIJ8" s="216"/>
      <c r="DIK8" s="216"/>
      <c r="DIL8" s="216"/>
      <c r="DIM8" s="216"/>
      <c r="DIN8" s="216"/>
      <c r="DIO8" s="216"/>
      <c r="DIP8" s="216"/>
      <c r="DIQ8" s="216"/>
      <c r="DIR8" s="216"/>
      <c r="DIS8" s="216"/>
      <c r="DIT8" s="216"/>
      <c r="DIU8" s="216"/>
      <c r="DIV8" s="216"/>
      <c r="DIW8" s="216"/>
      <c r="DIX8" s="216"/>
      <c r="DIY8" s="216"/>
      <c r="DIZ8" s="216"/>
      <c r="DJA8" s="216"/>
      <c r="DJB8" s="216"/>
      <c r="DJC8" s="216"/>
      <c r="DJD8" s="216"/>
      <c r="DJE8" s="216"/>
      <c r="DJF8" s="216"/>
      <c r="DJG8" s="216"/>
      <c r="DJH8" s="216"/>
      <c r="DJI8" s="216"/>
      <c r="DJJ8" s="216"/>
      <c r="DJK8" s="216"/>
      <c r="DJL8" s="216"/>
      <c r="DJM8" s="216"/>
      <c r="DJN8" s="216"/>
      <c r="DJO8" s="216"/>
      <c r="DJP8" s="216"/>
      <c r="DJQ8" s="216"/>
      <c r="DJR8" s="216"/>
      <c r="DJS8" s="216"/>
      <c r="DJT8" s="216"/>
      <c r="DJU8" s="216"/>
      <c r="DJV8" s="216"/>
      <c r="DJW8" s="216"/>
      <c r="DJX8" s="216"/>
      <c r="DJY8" s="216"/>
      <c r="DJZ8" s="216"/>
      <c r="DKA8" s="216"/>
      <c r="DKB8" s="216"/>
      <c r="DKC8" s="216"/>
      <c r="DKD8" s="216"/>
      <c r="DKE8" s="216"/>
      <c r="DKF8" s="216"/>
      <c r="DKG8" s="216"/>
      <c r="DKH8" s="216"/>
      <c r="DKI8" s="216"/>
      <c r="DKJ8" s="216"/>
      <c r="DKK8" s="216"/>
      <c r="DKL8" s="216"/>
      <c r="DKM8" s="216"/>
      <c r="DKN8" s="216"/>
      <c r="DKO8" s="216"/>
      <c r="DKP8" s="216"/>
      <c r="DKQ8" s="216"/>
      <c r="DKR8" s="216"/>
      <c r="DKS8" s="216"/>
      <c r="DKT8" s="216"/>
      <c r="DKU8" s="216"/>
      <c r="DKV8" s="216"/>
      <c r="DKW8" s="216"/>
      <c r="DKX8" s="216"/>
      <c r="DKY8" s="216"/>
      <c r="DKZ8" s="216"/>
      <c r="DLA8" s="216"/>
      <c r="DLB8" s="216"/>
      <c r="DLC8" s="216"/>
      <c r="DLD8" s="216"/>
      <c r="DLE8" s="216"/>
      <c r="DLF8" s="216"/>
      <c r="DLG8" s="216"/>
      <c r="DLH8" s="216"/>
      <c r="DLI8" s="216"/>
      <c r="DLJ8" s="216"/>
      <c r="DLK8" s="216"/>
      <c r="DLL8" s="216"/>
      <c r="DLM8" s="216"/>
      <c r="DLN8" s="216"/>
      <c r="DLO8" s="216"/>
      <c r="DLP8" s="216"/>
      <c r="DLQ8" s="216"/>
      <c r="DLR8" s="216"/>
      <c r="DLS8" s="216"/>
      <c r="DLT8" s="216"/>
      <c r="DLU8" s="216"/>
      <c r="DLV8" s="216"/>
      <c r="DLW8" s="216"/>
      <c r="DLX8" s="216"/>
      <c r="DLY8" s="216"/>
      <c r="DLZ8" s="216"/>
      <c r="DMA8" s="216"/>
      <c r="DMB8" s="216"/>
      <c r="DMC8" s="216"/>
      <c r="DMD8" s="216"/>
      <c r="DME8" s="216"/>
      <c r="DMF8" s="216"/>
      <c r="DMG8" s="216"/>
      <c r="DMH8" s="216"/>
      <c r="DMI8" s="216"/>
      <c r="DMJ8" s="216"/>
      <c r="DMK8" s="216"/>
      <c r="DML8" s="216"/>
      <c r="DMM8" s="216"/>
      <c r="DMN8" s="216"/>
      <c r="DMO8" s="216"/>
      <c r="DMP8" s="216"/>
      <c r="DMQ8" s="216"/>
      <c r="DMR8" s="216"/>
      <c r="DMS8" s="216"/>
      <c r="DMT8" s="216"/>
      <c r="DMU8" s="216"/>
      <c r="DMV8" s="216"/>
      <c r="DMW8" s="216"/>
      <c r="DMX8" s="216"/>
      <c r="DMY8" s="216"/>
      <c r="DMZ8" s="216"/>
      <c r="DNA8" s="216"/>
      <c r="DNB8" s="216"/>
      <c r="DNC8" s="216"/>
      <c r="DND8" s="216"/>
      <c r="DNE8" s="216"/>
      <c r="DNF8" s="216"/>
      <c r="DNG8" s="216"/>
      <c r="DNH8" s="216"/>
      <c r="DNI8" s="216"/>
      <c r="DNJ8" s="216"/>
      <c r="DNK8" s="216"/>
      <c r="DNL8" s="216"/>
      <c r="DNM8" s="216"/>
      <c r="DNN8" s="216"/>
      <c r="DNO8" s="216"/>
      <c r="DNP8" s="216"/>
      <c r="DNQ8" s="216"/>
      <c r="DNR8" s="216"/>
      <c r="DNS8" s="216"/>
      <c r="DNT8" s="216"/>
      <c r="DNU8" s="216"/>
      <c r="DNV8" s="216"/>
      <c r="DNW8" s="216"/>
      <c r="DNX8" s="216"/>
      <c r="DNY8" s="216"/>
      <c r="DNZ8" s="216"/>
      <c r="DOA8" s="216"/>
      <c r="DOB8" s="216"/>
      <c r="DOC8" s="216"/>
      <c r="DOD8" s="216"/>
      <c r="DOE8" s="216"/>
      <c r="DOF8" s="216"/>
      <c r="DOG8" s="216"/>
      <c r="DOH8" s="216"/>
      <c r="DOI8" s="216"/>
      <c r="DOJ8" s="216"/>
      <c r="DOK8" s="216"/>
      <c r="DOL8" s="216"/>
      <c r="DOM8" s="216"/>
      <c r="DON8" s="216"/>
      <c r="DOO8" s="216"/>
      <c r="DOP8" s="216"/>
      <c r="DOQ8" s="216"/>
      <c r="DOR8" s="216"/>
      <c r="DOS8" s="216"/>
      <c r="DOT8" s="216"/>
      <c r="DOU8" s="216"/>
      <c r="DOV8" s="216"/>
      <c r="DOW8" s="216"/>
      <c r="DOX8" s="216"/>
      <c r="DOY8" s="216"/>
      <c r="DOZ8" s="216"/>
      <c r="DPA8" s="216"/>
      <c r="DPB8" s="216"/>
      <c r="DPC8" s="216"/>
      <c r="DPD8" s="216"/>
      <c r="DPE8" s="216"/>
      <c r="DPF8" s="216"/>
      <c r="DPG8" s="216"/>
      <c r="DPH8" s="216"/>
      <c r="DPI8" s="216"/>
      <c r="DPJ8" s="216"/>
      <c r="DPK8" s="216"/>
      <c r="DPL8" s="216"/>
      <c r="DPM8" s="216"/>
      <c r="DPN8" s="216"/>
      <c r="DPO8" s="216"/>
      <c r="DPP8" s="216"/>
      <c r="DPQ8" s="216"/>
      <c r="DPR8" s="216"/>
      <c r="DPS8" s="216"/>
      <c r="DPT8" s="216"/>
      <c r="DPU8" s="216"/>
      <c r="DPV8" s="216"/>
      <c r="DPW8" s="216"/>
      <c r="DPX8" s="216"/>
      <c r="DPY8" s="216"/>
      <c r="DPZ8" s="216"/>
      <c r="DQA8" s="216"/>
      <c r="DQB8" s="216"/>
      <c r="DQC8" s="216"/>
      <c r="DQD8" s="216"/>
      <c r="DQE8" s="216"/>
      <c r="DQF8" s="216"/>
      <c r="DQG8" s="216"/>
      <c r="DQH8" s="216"/>
      <c r="DQI8" s="216"/>
      <c r="DQJ8" s="216"/>
      <c r="DQK8" s="216"/>
      <c r="DQL8" s="216"/>
      <c r="DQM8" s="216"/>
      <c r="DQN8" s="216"/>
      <c r="DQO8" s="216"/>
      <c r="DQP8" s="216"/>
      <c r="DQQ8" s="216"/>
      <c r="DQR8" s="216"/>
      <c r="DQS8" s="216"/>
      <c r="DQT8" s="216"/>
      <c r="DQU8" s="216"/>
      <c r="DQV8" s="216"/>
      <c r="DQW8" s="216"/>
      <c r="DQX8" s="216"/>
      <c r="DQY8" s="216"/>
      <c r="DQZ8" s="216"/>
      <c r="DRA8" s="216"/>
      <c r="DRB8" s="216"/>
      <c r="DRC8" s="216"/>
      <c r="DRD8" s="216"/>
      <c r="DRE8" s="216"/>
      <c r="DRF8" s="216"/>
      <c r="DRG8" s="216"/>
      <c r="DRH8" s="216"/>
      <c r="DRI8" s="216"/>
      <c r="DRJ8" s="216"/>
      <c r="DRK8" s="216"/>
      <c r="DRL8" s="216"/>
      <c r="DRM8" s="216"/>
      <c r="DRN8" s="216"/>
      <c r="DRO8" s="216"/>
      <c r="DRP8" s="216"/>
      <c r="DRQ8" s="216"/>
      <c r="DRR8" s="216"/>
      <c r="DRS8" s="216"/>
      <c r="DRT8" s="216"/>
      <c r="DRU8" s="216"/>
      <c r="DRV8" s="216"/>
      <c r="DRW8" s="216"/>
      <c r="DRX8" s="216"/>
      <c r="DRY8" s="216"/>
      <c r="DRZ8" s="216"/>
      <c r="DSA8" s="216"/>
      <c r="DSB8" s="216"/>
      <c r="DSC8" s="216"/>
      <c r="DSD8" s="216"/>
      <c r="DSE8" s="216"/>
      <c r="DSF8" s="216"/>
      <c r="DSG8" s="216"/>
      <c r="DSH8" s="216"/>
      <c r="DSI8" s="216"/>
      <c r="DSJ8" s="216"/>
      <c r="DSK8" s="216"/>
      <c r="DSL8" s="216"/>
      <c r="DSM8" s="216"/>
      <c r="DSN8" s="216"/>
      <c r="DSO8" s="216"/>
      <c r="DSP8" s="216"/>
      <c r="DSQ8" s="216"/>
      <c r="DSR8" s="216"/>
      <c r="DSS8" s="216"/>
      <c r="DST8" s="216"/>
      <c r="DSU8" s="216"/>
      <c r="DSV8" s="216"/>
      <c r="DSW8" s="216"/>
      <c r="DSX8" s="216"/>
      <c r="DSY8" s="216"/>
      <c r="DSZ8" s="216"/>
      <c r="DTA8" s="216"/>
      <c r="DTB8" s="216"/>
      <c r="DTC8" s="216"/>
      <c r="DTD8" s="216"/>
      <c r="DTE8" s="216"/>
      <c r="DTF8" s="216"/>
      <c r="DTG8" s="216"/>
      <c r="DTH8" s="216"/>
      <c r="DTI8" s="216"/>
      <c r="DTJ8" s="216"/>
      <c r="DTK8" s="216"/>
      <c r="DTL8" s="216"/>
      <c r="DTM8" s="216"/>
      <c r="DTN8" s="216"/>
      <c r="DTO8" s="216"/>
      <c r="DTP8" s="216"/>
      <c r="DTQ8" s="216"/>
      <c r="DTR8" s="216"/>
      <c r="DTS8" s="216"/>
      <c r="DTT8" s="216"/>
      <c r="DTU8" s="216"/>
      <c r="DTV8" s="216"/>
      <c r="DTW8" s="216"/>
      <c r="DTX8" s="216"/>
      <c r="DTY8" s="216"/>
      <c r="DTZ8" s="216"/>
      <c r="DUA8" s="216"/>
      <c r="DUB8" s="216"/>
      <c r="DUC8" s="216"/>
      <c r="DUD8" s="216"/>
      <c r="DUE8" s="216"/>
      <c r="DUF8" s="216"/>
      <c r="DUG8" s="216"/>
      <c r="DUH8" s="216"/>
      <c r="DUI8" s="216"/>
      <c r="DUJ8" s="216"/>
      <c r="DUK8" s="216"/>
      <c r="DUL8" s="216"/>
      <c r="DUM8" s="216"/>
      <c r="DUN8" s="216"/>
      <c r="DUO8" s="216"/>
      <c r="DUP8" s="216"/>
      <c r="DUQ8" s="216"/>
      <c r="DUR8" s="216"/>
      <c r="DUS8" s="216"/>
      <c r="DUT8" s="216"/>
      <c r="DUU8" s="216"/>
      <c r="DUV8" s="216"/>
      <c r="DUW8" s="216"/>
      <c r="DUX8" s="216"/>
      <c r="DUY8" s="216"/>
      <c r="DUZ8" s="216"/>
      <c r="DVA8" s="216"/>
      <c r="DVB8" s="216"/>
      <c r="DVC8" s="216"/>
      <c r="DVD8" s="216"/>
      <c r="DVE8" s="216"/>
      <c r="DVF8" s="216"/>
      <c r="DVG8" s="216"/>
      <c r="DVH8" s="216"/>
      <c r="DVI8" s="216"/>
      <c r="DVJ8" s="216"/>
      <c r="DVK8" s="216"/>
      <c r="DVL8" s="216"/>
      <c r="DVM8" s="216"/>
      <c r="DVN8" s="216"/>
      <c r="DVO8" s="216"/>
      <c r="DVP8" s="216"/>
      <c r="DVQ8" s="216"/>
      <c r="DVR8" s="216"/>
      <c r="DVS8" s="216"/>
      <c r="DVT8" s="216"/>
      <c r="DVU8" s="216"/>
      <c r="DVV8" s="216"/>
      <c r="DVW8" s="216"/>
      <c r="DVX8" s="216"/>
      <c r="DVY8" s="216"/>
      <c r="DVZ8" s="216"/>
      <c r="DWA8" s="216"/>
      <c r="DWB8" s="216"/>
      <c r="DWC8" s="216"/>
      <c r="DWD8" s="216"/>
      <c r="DWE8" s="216"/>
      <c r="DWF8" s="216"/>
      <c r="DWG8" s="216"/>
      <c r="DWH8" s="216"/>
      <c r="DWI8" s="216"/>
      <c r="DWJ8" s="216"/>
      <c r="DWK8" s="216"/>
      <c r="DWL8" s="216"/>
      <c r="DWM8" s="216"/>
      <c r="DWN8" s="216"/>
      <c r="DWO8" s="216"/>
      <c r="DWP8" s="216"/>
      <c r="DWQ8" s="216"/>
      <c r="DWR8" s="216"/>
      <c r="DWS8" s="216"/>
      <c r="DWT8" s="216"/>
      <c r="DWU8" s="216"/>
      <c r="DWV8" s="216"/>
      <c r="DWW8" s="216"/>
      <c r="DWX8" s="216"/>
      <c r="DWY8" s="216"/>
      <c r="DWZ8" s="216"/>
      <c r="DXA8" s="216"/>
      <c r="DXB8" s="216"/>
      <c r="DXC8" s="216"/>
      <c r="DXD8" s="216"/>
      <c r="DXE8" s="216"/>
      <c r="DXF8" s="216"/>
      <c r="DXG8" s="216"/>
      <c r="DXH8" s="216"/>
      <c r="DXI8" s="216"/>
      <c r="DXJ8" s="216"/>
      <c r="DXK8" s="216"/>
      <c r="DXL8" s="216"/>
      <c r="DXM8" s="216"/>
      <c r="DXN8" s="216"/>
      <c r="DXO8" s="216"/>
      <c r="DXP8" s="216"/>
      <c r="DXQ8" s="216"/>
      <c r="DXR8" s="216"/>
      <c r="DXS8" s="216"/>
      <c r="DXT8" s="216"/>
      <c r="DXU8" s="216"/>
      <c r="DXV8" s="216"/>
      <c r="DXW8" s="216"/>
      <c r="DXX8" s="216"/>
      <c r="DXY8" s="216"/>
      <c r="DXZ8" s="216"/>
      <c r="DYA8" s="216"/>
      <c r="DYB8" s="216"/>
      <c r="DYC8" s="216"/>
      <c r="DYD8" s="216"/>
      <c r="DYE8" s="216"/>
      <c r="DYF8" s="216"/>
      <c r="DYG8" s="216"/>
      <c r="DYH8" s="216"/>
      <c r="DYI8" s="216"/>
      <c r="DYJ8" s="216"/>
      <c r="DYK8" s="216"/>
      <c r="DYL8" s="216"/>
      <c r="DYM8" s="216"/>
      <c r="DYN8" s="216"/>
      <c r="DYO8" s="216"/>
      <c r="DYP8" s="216"/>
      <c r="DYQ8" s="216"/>
      <c r="DYR8" s="216"/>
      <c r="DYS8" s="216"/>
      <c r="DYT8" s="216"/>
      <c r="DYU8" s="216"/>
      <c r="DYV8" s="216"/>
      <c r="DYW8" s="216"/>
      <c r="DYX8" s="216"/>
      <c r="DYY8" s="216"/>
      <c r="DYZ8" s="216"/>
      <c r="DZA8" s="216"/>
      <c r="DZB8" s="216"/>
      <c r="DZC8" s="216"/>
      <c r="DZD8" s="216"/>
      <c r="DZE8" s="216"/>
      <c r="DZF8" s="216"/>
      <c r="DZG8" s="216"/>
      <c r="DZH8" s="216"/>
      <c r="DZI8" s="216"/>
      <c r="DZJ8" s="216"/>
      <c r="DZK8" s="216"/>
      <c r="DZL8" s="216"/>
      <c r="DZM8" s="216"/>
      <c r="DZN8" s="216"/>
      <c r="DZO8" s="216"/>
      <c r="DZP8" s="216"/>
      <c r="DZQ8" s="216"/>
      <c r="DZR8" s="216"/>
      <c r="DZS8" s="216"/>
      <c r="DZT8" s="216"/>
      <c r="DZU8" s="216"/>
      <c r="DZV8" s="216"/>
      <c r="DZW8" s="216"/>
      <c r="DZX8" s="216"/>
      <c r="DZY8" s="216"/>
      <c r="DZZ8" s="216"/>
      <c r="EAA8" s="216"/>
      <c r="EAB8" s="216"/>
      <c r="EAC8" s="216"/>
      <c r="EAD8" s="216"/>
      <c r="EAE8" s="216"/>
      <c r="EAF8" s="216"/>
      <c r="EAG8" s="216"/>
      <c r="EAH8" s="216"/>
      <c r="EAI8" s="216"/>
      <c r="EAJ8" s="216"/>
      <c r="EAK8" s="216"/>
      <c r="EAL8" s="216"/>
      <c r="EAM8" s="216"/>
      <c r="EAN8" s="216"/>
      <c r="EAO8" s="216"/>
      <c r="EAP8" s="216"/>
      <c r="EAQ8" s="216"/>
      <c r="EAR8" s="216"/>
      <c r="EAS8" s="216"/>
      <c r="EAT8" s="216"/>
      <c r="EAU8" s="216"/>
      <c r="EAV8" s="216"/>
      <c r="EAW8" s="216"/>
      <c r="EAX8" s="216"/>
      <c r="EAY8" s="216"/>
      <c r="EAZ8" s="216"/>
      <c r="EBA8" s="216"/>
      <c r="EBB8" s="216"/>
      <c r="EBC8" s="216"/>
      <c r="EBD8" s="216"/>
      <c r="EBE8" s="216"/>
      <c r="EBF8" s="216"/>
      <c r="EBG8" s="216"/>
      <c r="EBH8" s="216"/>
      <c r="EBI8" s="216"/>
      <c r="EBJ8" s="216"/>
      <c r="EBK8" s="216"/>
      <c r="EBL8" s="216"/>
      <c r="EBM8" s="216"/>
      <c r="EBN8" s="216"/>
      <c r="EBO8" s="216"/>
      <c r="EBP8" s="216"/>
      <c r="EBQ8" s="216"/>
      <c r="EBR8" s="216"/>
      <c r="EBS8" s="216"/>
      <c r="EBT8" s="216"/>
      <c r="EBU8" s="216"/>
      <c r="EBV8" s="216"/>
      <c r="EBW8" s="216"/>
      <c r="EBX8" s="216"/>
      <c r="EBY8" s="216"/>
      <c r="EBZ8" s="216"/>
      <c r="ECA8" s="216"/>
      <c r="ECB8" s="216"/>
      <c r="ECC8" s="216"/>
      <c r="ECD8" s="216"/>
      <c r="ECE8" s="216"/>
      <c r="ECF8" s="216"/>
      <c r="ECG8" s="216"/>
      <c r="ECH8" s="216"/>
      <c r="ECI8" s="216"/>
      <c r="ECJ8" s="216"/>
      <c r="ECK8" s="216"/>
      <c r="ECL8" s="216"/>
      <c r="ECM8" s="216"/>
      <c r="ECN8" s="216"/>
      <c r="ECO8" s="216"/>
      <c r="ECP8" s="216"/>
      <c r="ECQ8" s="216"/>
      <c r="ECR8" s="216"/>
      <c r="ECS8" s="216"/>
      <c r="ECT8" s="216"/>
      <c r="ECU8" s="216"/>
      <c r="ECV8" s="216"/>
      <c r="ECW8" s="216"/>
      <c r="ECX8" s="216"/>
      <c r="ECY8" s="216"/>
      <c r="ECZ8" s="216"/>
      <c r="EDA8" s="216"/>
      <c r="EDB8" s="216"/>
      <c r="EDC8" s="216"/>
      <c r="EDD8" s="216"/>
      <c r="EDE8" s="216"/>
      <c r="EDF8" s="216"/>
      <c r="EDG8" s="216"/>
      <c r="EDH8" s="216"/>
      <c r="EDI8" s="216"/>
      <c r="EDJ8" s="216"/>
      <c r="EDK8" s="216"/>
      <c r="EDL8" s="216"/>
      <c r="EDM8" s="216"/>
      <c r="EDN8" s="216"/>
      <c r="EDO8" s="216"/>
      <c r="EDP8" s="216"/>
      <c r="EDQ8" s="216"/>
      <c r="EDR8" s="216"/>
      <c r="EDS8" s="216"/>
      <c r="EDT8" s="216"/>
      <c r="EDU8" s="216"/>
      <c r="EDV8" s="216"/>
      <c r="EDW8" s="216"/>
      <c r="EDX8" s="216"/>
      <c r="EDY8" s="216"/>
      <c r="EDZ8" s="216"/>
      <c r="EEA8" s="216"/>
      <c r="EEB8" s="216"/>
      <c r="EEC8" s="216"/>
      <c r="EED8" s="216"/>
      <c r="EEE8" s="216"/>
      <c r="EEF8" s="216"/>
      <c r="EEG8" s="216"/>
      <c r="EEH8" s="216"/>
      <c r="EEI8" s="216"/>
      <c r="EEJ8" s="216"/>
      <c r="EEK8" s="216"/>
      <c r="EEL8" s="216"/>
      <c r="EEM8" s="216"/>
      <c r="EEN8" s="216"/>
      <c r="EEO8" s="216"/>
      <c r="EEP8" s="216"/>
      <c r="EEQ8" s="216"/>
      <c r="EER8" s="216"/>
      <c r="EES8" s="216"/>
      <c r="EET8" s="216"/>
      <c r="EEU8" s="216"/>
      <c r="EEV8" s="216"/>
      <c r="EEW8" s="216"/>
      <c r="EEX8" s="216"/>
      <c r="EEY8" s="216"/>
      <c r="EEZ8" s="216"/>
      <c r="EFA8" s="216"/>
      <c r="EFB8" s="216"/>
      <c r="EFC8" s="216"/>
      <c r="EFD8" s="216"/>
      <c r="EFE8" s="216"/>
      <c r="EFF8" s="216"/>
      <c r="EFG8" s="216"/>
      <c r="EFH8" s="216"/>
      <c r="EFI8" s="216"/>
      <c r="EFJ8" s="216"/>
      <c r="EFK8" s="216"/>
      <c r="EFL8" s="216"/>
      <c r="EFM8" s="216"/>
      <c r="EFN8" s="216"/>
      <c r="EFO8" s="216"/>
      <c r="EFP8" s="216"/>
      <c r="EFQ8" s="216"/>
      <c r="EFR8" s="216"/>
      <c r="EFS8" s="216"/>
      <c r="EFT8" s="216"/>
      <c r="EFU8" s="216"/>
      <c r="EFV8" s="216"/>
      <c r="EFW8" s="216"/>
      <c r="EFX8" s="216"/>
      <c r="EFY8" s="216"/>
      <c r="EFZ8" s="216"/>
      <c r="EGA8" s="216"/>
      <c r="EGB8" s="216"/>
      <c r="EGC8" s="216"/>
      <c r="EGD8" s="216"/>
      <c r="EGE8" s="216"/>
      <c r="EGF8" s="216"/>
      <c r="EGG8" s="216"/>
      <c r="EGH8" s="216"/>
      <c r="EGI8" s="216"/>
      <c r="EGJ8" s="216"/>
      <c r="EGK8" s="216"/>
      <c r="EGL8" s="216"/>
      <c r="EGM8" s="216"/>
      <c r="EGN8" s="216"/>
      <c r="EGO8" s="216"/>
      <c r="EGP8" s="216"/>
      <c r="EGQ8" s="216"/>
      <c r="EGR8" s="216"/>
      <c r="EGS8" s="216"/>
      <c r="EGT8" s="216"/>
      <c r="EGU8" s="216"/>
      <c r="EGV8" s="216"/>
      <c r="EGW8" s="216"/>
      <c r="EGX8" s="216"/>
      <c r="EGY8" s="216"/>
      <c r="EGZ8" s="216"/>
      <c r="EHA8" s="216"/>
      <c r="EHB8" s="216"/>
      <c r="EHC8" s="216"/>
      <c r="EHD8" s="216"/>
      <c r="EHE8" s="216"/>
      <c r="EHF8" s="216"/>
      <c r="EHG8" s="216"/>
      <c r="EHH8" s="216"/>
      <c r="EHI8" s="216"/>
      <c r="EHJ8" s="216"/>
      <c r="EHK8" s="216"/>
      <c r="EHL8" s="216"/>
      <c r="EHM8" s="216"/>
      <c r="EHN8" s="216"/>
      <c r="EHO8" s="216"/>
      <c r="EHP8" s="216"/>
      <c r="EHQ8" s="216"/>
      <c r="EHR8" s="216"/>
      <c r="EHS8" s="216"/>
      <c r="EHT8" s="216"/>
      <c r="EHU8" s="216"/>
      <c r="EHV8" s="216"/>
      <c r="EHW8" s="216"/>
      <c r="EHX8" s="216"/>
      <c r="EHY8" s="216"/>
      <c r="EHZ8" s="216"/>
      <c r="EIA8" s="216"/>
      <c r="EIB8" s="216"/>
      <c r="EIC8" s="216"/>
      <c r="EID8" s="216"/>
      <c r="EIE8" s="216"/>
      <c r="EIF8" s="216"/>
      <c r="EIG8" s="216"/>
      <c r="EIH8" s="216"/>
      <c r="EII8" s="216"/>
      <c r="EIJ8" s="216"/>
      <c r="EIK8" s="216"/>
      <c r="EIL8" s="216"/>
      <c r="EIM8" s="216"/>
      <c r="EIN8" s="216"/>
      <c r="EIO8" s="216"/>
      <c r="EIP8" s="216"/>
      <c r="EIQ8" s="216"/>
      <c r="EIR8" s="216"/>
      <c r="EIS8" s="216"/>
      <c r="EIT8" s="216"/>
      <c r="EIU8" s="216"/>
      <c r="EIV8" s="216"/>
      <c r="EIW8" s="216"/>
      <c r="EIX8" s="216"/>
      <c r="EIY8" s="216"/>
      <c r="EIZ8" s="216"/>
      <c r="EJA8" s="216"/>
      <c r="EJB8" s="216"/>
      <c r="EJC8" s="216"/>
      <c r="EJD8" s="216"/>
      <c r="EJE8" s="216"/>
      <c r="EJF8" s="216"/>
      <c r="EJG8" s="216"/>
      <c r="EJH8" s="216"/>
      <c r="EJI8" s="216"/>
      <c r="EJJ8" s="216"/>
      <c r="EJK8" s="216"/>
      <c r="EJL8" s="216"/>
      <c r="EJM8" s="216"/>
      <c r="EJN8" s="216"/>
      <c r="EJO8" s="216"/>
      <c r="EJP8" s="216"/>
      <c r="EJQ8" s="216"/>
      <c r="EJR8" s="216"/>
      <c r="EJS8" s="216"/>
      <c r="EJT8" s="216"/>
      <c r="EJU8" s="216"/>
      <c r="EJV8" s="216"/>
      <c r="EJW8" s="216"/>
      <c r="EJX8" s="216"/>
      <c r="EJY8" s="216"/>
      <c r="EJZ8" s="216"/>
      <c r="EKA8" s="216"/>
      <c r="EKB8" s="216"/>
      <c r="EKC8" s="216"/>
      <c r="EKD8" s="216"/>
      <c r="EKE8" s="216"/>
      <c r="EKF8" s="216"/>
      <c r="EKG8" s="216"/>
      <c r="EKH8" s="216"/>
      <c r="EKI8" s="216"/>
      <c r="EKJ8" s="216"/>
      <c r="EKK8" s="216"/>
      <c r="EKL8" s="216"/>
      <c r="EKM8" s="216"/>
      <c r="EKN8" s="216"/>
      <c r="EKO8" s="216"/>
      <c r="EKP8" s="216"/>
      <c r="EKQ8" s="216"/>
      <c r="EKR8" s="216"/>
      <c r="EKS8" s="216"/>
      <c r="EKT8" s="216"/>
      <c r="EKU8" s="216"/>
      <c r="EKV8" s="216"/>
      <c r="EKW8" s="216"/>
      <c r="EKX8" s="216"/>
      <c r="EKY8" s="216"/>
      <c r="EKZ8" s="216"/>
      <c r="ELA8" s="216"/>
      <c r="ELB8" s="216"/>
      <c r="ELC8" s="216"/>
      <c r="ELD8" s="216"/>
      <c r="ELE8" s="216"/>
      <c r="ELF8" s="216"/>
      <c r="ELG8" s="216"/>
      <c r="ELH8" s="216"/>
      <c r="ELI8" s="216"/>
      <c r="ELJ8" s="216"/>
      <c r="ELK8" s="216"/>
      <c r="ELL8" s="216"/>
      <c r="ELM8" s="216"/>
      <c r="ELN8" s="216"/>
      <c r="ELO8" s="216"/>
      <c r="ELP8" s="216"/>
      <c r="ELQ8" s="216"/>
      <c r="ELR8" s="216"/>
      <c r="ELS8" s="216"/>
      <c r="ELT8" s="216"/>
      <c r="ELU8" s="216"/>
      <c r="ELV8" s="216"/>
      <c r="ELW8" s="216"/>
      <c r="ELX8" s="216"/>
      <c r="ELY8" s="216"/>
      <c r="ELZ8" s="216"/>
      <c r="EMA8" s="216"/>
      <c r="EMB8" s="216"/>
      <c r="EMC8" s="216"/>
      <c r="EMD8" s="216"/>
      <c r="EME8" s="216"/>
      <c r="EMF8" s="216"/>
      <c r="EMG8" s="216"/>
      <c r="EMH8" s="216"/>
      <c r="EMI8" s="216"/>
      <c r="EMJ8" s="216"/>
      <c r="EMK8" s="216"/>
      <c r="EML8" s="216"/>
      <c r="EMM8" s="216"/>
      <c r="EMN8" s="216"/>
      <c r="EMO8" s="216"/>
      <c r="EMP8" s="216"/>
      <c r="EMQ8" s="216"/>
      <c r="EMR8" s="216"/>
      <c r="EMS8" s="216"/>
      <c r="EMT8" s="216"/>
      <c r="EMU8" s="216"/>
      <c r="EMV8" s="216"/>
      <c r="EMW8" s="216"/>
      <c r="EMX8" s="216"/>
      <c r="EMY8" s="216"/>
      <c r="EMZ8" s="216"/>
      <c r="ENA8" s="216"/>
      <c r="ENB8" s="216"/>
      <c r="ENC8" s="216"/>
      <c r="END8" s="216"/>
      <c r="ENE8" s="216"/>
      <c r="ENF8" s="216"/>
      <c r="ENG8" s="216"/>
      <c r="ENH8" s="216"/>
      <c r="ENI8" s="216"/>
      <c r="ENJ8" s="216"/>
      <c r="ENK8" s="216"/>
      <c r="ENL8" s="216"/>
      <c r="ENM8" s="216"/>
      <c r="ENN8" s="216"/>
      <c r="ENO8" s="216"/>
      <c r="ENP8" s="216"/>
      <c r="ENQ8" s="216"/>
      <c r="ENR8" s="216"/>
      <c r="ENS8" s="216"/>
      <c r="ENT8" s="216"/>
      <c r="ENU8" s="216"/>
      <c r="ENV8" s="216"/>
      <c r="ENW8" s="216"/>
      <c r="ENX8" s="216"/>
      <c r="ENY8" s="216"/>
      <c r="ENZ8" s="216"/>
      <c r="EOA8" s="216"/>
      <c r="EOB8" s="216"/>
      <c r="EOC8" s="216"/>
      <c r="EOD8" s="216"/>
      <c r="EOE8" s="216"/>
      <c r="EOF8" s="216"/>
      <c r="EOG8" s="216"/>
      <c r="EOH8" s="216"/>
      <c r="EOI8" s="216"/>
      <c r="EOJ8" s="216"/>
      <c r="EOK8" s="216"/>
      <c r="EOL8" s="216"/>
      <c r="EOM8" s="216"/>
      <c r="EON8" s="216"/>
      <c r="EOO8" s="216"/>
      <c r="EOP8" s="216"/>
      <c r="EOQ8" s="216"/>
      <c r="EOR8" s="216"/>
      <c r="EOS8" s="216"/>
      <c r="EOT8" s="216"/>
      <c r="EOU8" s="216"/>
      <c r="EOV8" s="216"/>
      <c r="EOW8" s="216"/>
      <c r="EOX8" s="216"/>
      <c r="EOY8" s="216"/>
      <c r="EOZ8" s="216"/>
      <c r="EPA8" s="216"/>
      <c r="EPB8" s="216"/>
      <c r="EPC8" s="216"/>
      <c r="EPD8" s="216"/>
      <c r="EPE8" s="216"/>
      <c r="EPF8" s="216"/>
      <c r="EPG8" s="216"/>
      <c r="EPH8" s="216"/>
      <c r="EPI8" s="216"/>
      <c r="EPJ8" s="216"/>
      <c r="EPK8" s="216"/>
      <c r="EPL8" s="216"/>
      <c r="EPM8" s="216"/>
      <c r="EPN8" s="216"/>
      <c r="EPO8" s="216"/>
      <c r="EPP8" s="216"/>
      <c r="EPQ8" s="216"/>
      <c r="EPR8" s="216"/>
      <c r="EPS8" s="216"/>
      <c r="EPT8" s="216"/>
      <c r="EPU8" s="216"/>
      <c r="EPV8" s="216"/>
      <c r="EPW8" s="216"/>
      <c r="EPX8" s="216"/>
      <c r="EPY8" s="216"/>
      <c r="EPZ8" s="216"/>
      <c r="EQA8" s="216"/>
      <c r="EQB8" s="216"/>
      <c r="EQC8" s="216"/>
      <c r="EQD8" s="216"/>
      <c r="EQE8" s="216"/>
      <c r="EQF8" s="216"/>
      <c r="EQG8" s="216"/>
      <c r="EQH8" s="216"/>
      <c r="EQI8" s="216"/>
      <c r="EQJ8" s="216"/>
      <c r="EQK8" s="216"/>
      <c r="EQL8" s="216"/>
      <c r="EQM8" s="216"/>
      <c r="EQN8" s="216"/>
      <c r="EQO8" s="216"/>
      <c r="EQP8" s="216"/>
      <c r="EQQ8" s="216"/>
      <c r="EQR8" s="216"/>
      <c r="EQS8" s="216"/>
      <c r="EQT8" s="216"/>
      <c r="EQU8" s="216"/>
      <c r="EQV8" s="216"/>
      <c r="EQW8" s="216"/>
      <c r="EQX8" s="216"/>
      <c r="EQY8" s="216"/>
      <c r="EQZ8" s="216"/>
      <c r="ERA8" s="216"/>
      <c r="ERB8" s="216"/>
      <c r="ERC8" s="216"/>
      <c r="ERD8" s="216"/>
      <c r="ERE8" s="216"/>
      <c r="ERF8" s="216"/>
      <c r="ERG8" s="216"/>
      <c r="ERH8" s="216"/>
      <c r="ERI8" s="216"/>
      <c r="ERJ8" s="216"/>
      <c r="ERK8" s="216"/>
      <c r="ERL8" s="216"/>
      <c r="ERM8" s="216"/>
      <c r="ERN8" s="216"/>
      <c r="ERO8" s="216"/>
      <c r="ERP8" s="216"/>
      <c r="ERQ8" s="216"/>
      <c r="ERR8" s="216"/>
      <c r="ERS8" s="216"/>
      <c r="ERT8" s="216"/>
      <c r="ERU8" s="216"/>
      <c r="ERV8" s="216"/>
      <c r="ERW8" s="216"/>
      <c r="ERX8" s="216"/>
      <c r="ERY8" s="216"/>
      <c r="ERZ8" s="216"/>
      <c r="ESA8" s="216"/>
      <c r="ESB8" s="216"/>
      <c r="ESC8" s="216"/>
      <c r="ESD8" s="216"/>
      <c r="ESE8" s="216"/>
      <c r="ESF8" s="216"/>
      <c r="ESG8" s="216"/>
      <c r="ESH8" s="216"/>
      <c r="ESI8" s="216"/>
      <c r="ESJ8" s="216"/>
      <c r="ESK8" s="216"/>
      <c r="ESL8" s="216"/>
      <c r="ESM8" s="216"/>
      <c r="ESN8" s="216"/>
      <c r="ESO8" s="216"/>
      <c r="ESP8" s="216"/>
      <c r="ESQ8" s="216"/>
      <c r="ESR8" s="216"/>
      <c r="ESS8" s="216"/>
      <c r="EST8" s="216"/>
      <c r="ESU8" s="216"/>
      <c r="ESV8" s="216"/>
      <c r="ESW8" s="216"/>
      <c r="ESX8" s="216"/>
      <c r="ESY8" s="216"/>
      <c r="ESZ8" s="216"/>
      <c r="ETA8" s="216"/>
      <c r="ETB8" s="216"/>
      <c r="ETC8" s="216"/>
      <c r="ETD8" s="216"/>
      <c r="ETE8" s="216"/>
      <c r="ETF8" s="216"/>
      <c r="ETG8" s="216"/>
      <c r="ETH8" s="216"/>
      <c r="ETI8" s="216"/>
      <c r="ETJ8" s="216"/>
      <c r="ETK8" s="216"/>
      <c r="ETL8" s="216"/>
      <c r="ETM8" s="216"/>
      <c r="ETN8" s="216"/>
      <c r="ETO8" s="216"/>
      <c r="ETP8" s="216"/>
      <c r="ETQ8" s="216"/>
      <c r="ETR8" s="216"/>
      <c r="ETS8" s="216"/>
      <c r="ETT8" s="216"/>
      <c r="ETU8" s="216"/>
      <c r="ETV8" s="216"/>
      <c r="ETW8" s="216"/>
      <c r="ETX8" s="216"/>
      <c r="ETY8" s="216"/>
      <c r="ETZ8" s="216"/>
      <c r="EUA8" s="216"/>
      <c r="EUB8" s="216"/>
      <c r="EUC8" s="216"/>
      <c r="EUD8" s="216"/>
      <c r="EUE8" s="216"/>
      <c r="EUF8" s="216"/>
      <c r="EUG8" s="216"/>
      <c r="EUH8" s="216"/>
      <c r="EUI8" s="216"/>
      <c r="EUJ8" s="216"/>
      <c r="EUK8" s="216"/>
      <c r="EUL8" s="216"/>
      <c r="EUM8" s="216"/>
      <c r="EUN8" s="216"/>
      <c r="EUO8" s="216"/>
      <c r="EUP8" s="216"/>
      <c r="EUQ8" s="216"/>
      <c r="EUR8" s="216"/>
      <c r="EUS8" s="216"/>
      <c r="EUT8" s="216"/>
      <c r="EUU8" s="216"/>
      <c r="EUV8" s="216"/>
      <c r="EUW8" s="216"/>
      <c r="EUX8" s="216"/>
      <c r="EUY8" s="216"/>
      <c r="EUZ8" s="216"/>
      <c r="EVA8" s="216"/>
      <c r="EVB8" s="216"/>
      <c r="EVC8" s="216"/>
      <c r="EVD8" s="216"/>
      <c r="EVE8" s="216"/>
      <c r="EVF8" s="216"/>
      <c r="EVG8" s="216"/>
      <c r="EVH8" s="216"/>
      <c r="EVI8" s="216"/>
      <c r="EVJ8" s="216"/>
      <c r="EVK8" s="216"/>
      <c r="EVL8" s="216"/>
      <c r="EVM8" s="216"/>
      <c r="EVN8" s="216"/>
      <c r="EVO8" s="216"/>
      <c r="EVP8" s="216"/>
      <c r="EVQ8" s="216"/>
      <c r="EVR8" s="216"/>
      <c r="EVS8" s="216"/>
      <c r="EVT8" s="216"/>
      <c r="EVU8" s="216"/>
      <c r="EVV8" s="216"/>
      <c r="EVW8" s="216"/>
      <c r="EVX8" s="216"/>
      <c r="EVY8" s="216"/>
      <c r="EVZ8" s="216"/>
      <c r="EWA8" s="216"/>
      <c r="EWB8" s="216"/>
      <c r="EWC8" s="216"/>
      <c r="EWD8" s="216"/>
      <c r="EWE8" s="216"/>
      <c r="EWF8" s="216"/>
      <c r="EWG8" s="216"/>
      <c r="EWH8" s="216"/>
      <c r="EWI8" s="216"/>
      <c r="EWJ8" s="216"/>
      <c r="EWK8" s="216"/>
      <c r="EWL8" s="216"/>
      <c r="EWM8" s="216"/>
      <c r="EWN8" s="216"/>
      <c r="EWO8" s="216"/>
      <c r="EWP8" s="216"/>
      <c r="EWQ8" s="216"/>
      <c r="EWR8" s="216"/>
      <c r="EWS8" s="216"/>
      <c r="EWT8" s="216"/>
      <c r="EWU8" s="216"/>
      <c r="EWV8" s="216"/>
      <c r="EWW8" s="216"/>
      <c r="EWX8" s="216"/>
      <c r="EWY8" s="216"/>
      <c r="EWZ8" s="216"/>
      <c r="EXA8" s="216"/>
      <c r="EXB8" s="216"/>
      <c r="EXC8" s="216"/>
      <c r="EXD8" s="216"/>
      <c r="EXE8" s="216"/>
      <c r="EXF8" s="216"/>
      <c r="EXG8" s="216"/>
      <c r="EXH8" s="216"/>
      <c r="EXI8" s="216"/>
      <c r="EXJ8" s="216"/>
      <c r="EXK8" s="216"/>
      <c r="EXL8" s="216"/>
      <c r="EXM8" s="216"/>
      <c r="EXN8" s="216"/>
      <c r="EXO8" s="216"/>
      <c r="EXP8" s="216"/>
      <c r="EXQ8" s="216"/>
      <c r="EXR8" s="216"/>
      <c r="EXS8" s="216"/>
      <c r="EXT8" s="216"/>
      <c r="EXU8" s="216"/>
      <c r="EXV8" s="216"/>
      <c r="EXW8" s="216"/>
      <c r="EXX8" s="216"/>
      <c r="EXY8" s="216"/>
      <c r="EXZ8" s="216"/>
      <c r="EYA8" s="216"/>
      <c r="EYB8" s="216"/>
      <c r="EYC8" s="216"/>
      <c r="EYD8" s="216"/>
      <c r="EYE8" s="216"/>
      <c r="EYF8" s="216"/>
      <c r="EYG8" s="216"/>
      <c r="EYH8" s="216"/>
      <c r="EYI8" s="216"/>
      <c r="EYJ8" s="216"/>
      <c r="EYK8" s="216"/>
      <c r="EYL8" s="216"/>
      <c r="EYM8" s="216"/>
      <c r="EYN8" s="216"/>
      <c r="EYO8" s="216"/>
      <c r="EYP8" s="216"/>
      <c r="EYQ8" s="216"/>
      <c r="EYR8" s="216"/>
      <c r="EYS8" s="216"/>
      <c r="EYT8" s="216"/>
      <c r="EYU8" s="216"/>
      <c r="EYV8" s="216"/>
      <c r="EYW8" s="216"/>
      <c r="EYX8" s="216"/>
      <c r="EYY8" s="216"/>
      <c r="EYZ8" s="216"/>
      <c r="EZA8" s="216"/>
      <c r="EZB8" s="216"/>
      <c r="EZC8" s="216"/>
      <c r="EZD8" s="216"/>
      <c r="EZE8" s="216"/>
      <c r="EZF8" s="216"/>
      <c r="EZG8" s="216"/>
      <c r="EZH8" s="216"/>
      <c r="EZI8" s="216"/>
      <c r="EZJ8" s="216"/>
      <c r="EZK8" s="216"/>
      <c r="EZL8" s="216"/>
      <c r="EZM8" s="216"/>
      <c r="EZN8" s="216"/>
      <c r="EZO8" s="216"/>
      <c r="EZP8" s="216"/>
      <c r="EZQ8" s="216"/>
      <c r="EZR8" s="216"/>
      <c r="EZS8" s="216"/>
      <c r="EZT8" s="216"/>
      <c r="EZU8" s="216"/>
      <c r="EZV8" s="216"/>
      <c r="EZW8" s="216"/>
      <c r="EZX8" s="216"/>
      <c r="EZY8" s="216"/>
      <c r="EZZ8" s="216"/>
      <c r="FAA8" s="216"/>
      <c r="FAB8" s="216"/>
      <c r="FAC8" s="216"/>
      <c r="FAD8" s="216"/>
      <c r="FAE8" s="216"/>
      <c r="FAF8" s="216"/>
      <c r="FAG8" s="216"/>
      <c r="FAH8" s="216"/>
      <c r="FAI8" s="216"/>
      <c r="FAJ8" s="216"/>
      <c r="FAK8" s="216"/>
      <c r="FAL8" s="216"/>
      <c r="FAM8" s="216"/>
      <c r="FAN8" s="216"/>
      <c r="FAO8" s="216"/>
      <c r="FAP8" s="216"/>
      <c r="FAQ8" s="216"/>
      <c r="FAR8" s="216"/>
      <c r="FAS8" s="216"/>
      <c r="FAT8" s="216"/>
      <c r="FAU8" s="216"/>
      <c r="FAV8" s="216"/>
      <c r="FAW8" s="216"/>
      <c r="FAX8" s="216"/>
      <c r="FAY8" s="216"/>
      <c r="FAZ8" s="216"/>
      <c r="FBA8" s="216"/>
      <c r="FBB8" s="216"/>
      <c r="FBC8" s="216"/>
      <c r="FBD8" s="216"/>
      <c r="FBE8" s="216"/>
      <c r="FBF8" s="216"/>
      <c r="FBG8" s="216"/>
      <c r="FBH8" s="216"/>
      <c r="FBI8" s="216"/>
      <c r="FBJ8" s="216"/>
      <c r="FBK8" s="216"/>
      <c r="FBL8" s="216"/>
      <c r="FBM8" s="216"/>
      <c r="FBN8" s="216"/>
      <c r="FBO8" s="216"/>
      <c r="FBP8" s="216"/>
      <c r="FBQ8" s="216"/>
      <c r="FBR8" s="216"/>
      <c r="FBS8" s="216"/>
      <c r="FBT8" s="216"/>
      <c r="FBU8" s="216"/>
      <c r="FBV8" s="216"/>
      <c r="FBW8" s="216"/>
      <c r="FBX8" s="216"/>
      <c r="FBY8" s="216"/>
      <c r="FBZ8" s="216"/>
      <c r="FCA8" s="216"/>
      <c r="FCB8" s="216"/>
      <c r="FCC8" s="216"/>
      <c r="FCD8" s="216"/>
      <c r="FCE8" s="216"/>
      <c r="FCF8" s="216"/>
      <c r="FCG8" s="216"/>
      <c r="FCH8" s="216"/>
      <c r="FCI8" s="216"/>
      <c r="FCJ8" s="216"/>
      <c r="FCK8" s="216"/>
      <c r="FCL8" s="216"/>
      <c r="FCM8" s="216"/>
      <c r="FCN8" s="216"/>
      <c r="FCO8" s="216"/>
      <c r="FCP8" s="216"/>
      <c r="FCQ8" s="216"/>
      <c r="FCR8" s="216"/>
      <c r="FCS8" s="216"/>
      <c r="FCT8" s="216"/>
      <c r="FCU8" s="216"/>
      <c r="FCV8" s="216"/>
      <c r="FCW8" s="216"/>
      <c r="FCX8" s="216"/>
      <c r="FCY8" s="216"/>
      <c r="FCZ8" s="216"/>
      <c r="FDA8" s="216"/>
      <c r="FDB8" s="216"/>
      <c r="FDC8" s="216"/>
      <c r="FDD8" s="216"/>
      <c r="FDE8" s="216"/>
      <c r="FDF8" s="216"/>
      <c r="FDG8" s="216"/>
      <c r="FDH8" s="216"/>
      <c r="FDI8" s="216"/>
      <c r="FDJ8" s="216"/>
      <c r="FDK8" s="216"/>
      <c r="FDL8" s="216"/>
      <c r="FDM8" s="216"/>
      <c r="FDN8" s="216"/>
      <c r="FDO8" s="216"/>
      <c r="FDP8" s="216"/>
      <c r="FDQ8" s="216"/>
      <c r="FDR8" s="216"/>
      <c r="FDS8" s="216"/>
      <c r="FDT8" s="216"/>
      <c r="FDU8" s="216"/>
      <c r="FDV8" s="216"/>
      <c r="FDW8" s="216"/>
      <c r="FDX8" s="216"/>
      <c r="FDY8" s="216"/>
      <c r="FDZ8" s="216"/>
      <c r="FEA8" s="216"/>
      <c r="FEB8" s="216"/>
      <c r="FEC8" s="216"/>
      <c r="FED8" s="216"/>
      <c r="FEE8" s="216"/>
      <c r="FEF8" s="216"/>
      <c r="FEG8" s="216"/>
      <c r="FEH8" s="216"/>
      <c r="FEI8" s="216"/>
      <c r="FEJ8" s="216"/>
      <c r="FEK8" s="216"/>
      <c r="FEL8" s="216"/>
      <c r="FEM8" s="216"/>
      <c r="FEN8" s="216"/>
      <c r="FEO8" s="216"/>
      <c r="FEP8" s="216"/>
      <c r="FEQ8" s="216"/>
      <c r="FER8" s="216"/>
      <c r="FES8" s="216"/>
      <c r="FET8" s="216"/>
      <c r="FEU8" s="216"/>
      <c r="FEV8" s="216"/>
      <c r="FEW8" s="216"/>
      <c r="FEX8" s="216"/>
      <c r="FEY8" s="216"/>
      <c r="FEZ8" s="216"/>
      <c r="FFA8" s="216"/>
      <c r="FFB8" s="216"/>
      <c r="FFC8" s="216"/>
      <c r="FFD8" s="216"/>
      <c r="FFE8" s="216"/>
      <c r="FFF8" s="216"/>
      <c r="FFG8" s="216"/>
      <c r="FFH8" s="216"/>
      <c r="FFI8" s="216"/>
      <c r="FFJ8" s="216"/>
      <c r="FFK8" s="216"/>
      <c r="FFL8" s="216"/>
      <c r="FFM8" s="216"/>
      <c r="FFN8" s="216"/>
      <c r="FFO8" s="216"/>
      <c r="FFP8" s="216"/>
      <c r="FFQ8" s="216"/>
      <c r="FFR8" s="216"/>
      <c r="FFS8" s="216"/>
      <c r="FFT8" s="216"/>
      <c r="FFU8" s="216"/>
      <c r="FFV8" s="216"/>
      <c r="FFW8" s="216"/>
      <c r="FFX8" s="216"/>
      <c r="FFY8" s="216"/>
      <c r="FFZ8" s="216"/>
      <c r="FGA8" s="216"/>
      <c r="FGB8" s="216"/>
      <c r="FGC8" s="216"/>
      <c r="FGD8" s="216"/>
      <c r="FGE8" s="216"/>
      <c r="FGF8" s="216"/>
      <c r="FGG8" s="216"/>
      <c r="FGH8" s="216"/>
      <c r="FGI8" s="216"/>
      <c r="FGJ8" s="216"/>
      <c r="FGK8" s="216"/>
      <c r="FGL8" s="216"/>
      <c r="FGM8" s="216"/>
      <c r="FGN8" s="216"/>
      <c r="FGO8" s="216"/>
      <c r="FGP8" s="216"/>
      <c r="FGQ8" s="216"/>
      <c r="FGR8" s="216"/>
      <c r="FGS8" s="216"/>
      <c r="FGT8" s="216"/>
      <c r="FGU8" s="216"/>
      <c r="FGV8" s="216"/>
      <c r="FGW8" s="216"/>
      <c r="FGX8" s="216"/>
      <c r="FGY8" s="216"/>
      <c r="FGZ8" s="216"/>
      <c r="FHA8" s="216"/>
      <c r="FHB8" s="216"/>
      <c r="FHC8" s="216"/>
      <c r="FHD8" s="216"/>
      <c r="FHE8" s="216"/>
      <c r="FHF8" s="216"/>
      <c r="FHG8" s="216"/>
      <c r="FHH8" s="216"/>
      <c r="FHI8" s="216"/>
      <c r="FHJ8" s="216"/>
      <c r="FHK8" s="216"/>
      <c r="FHL8" s="216"/>
      <c r="FHM8" s="216"/>
      <c r="FHN8" s="216"/>
      <c r="FHO8" s="216"/>
      <c r="FHP8" s="216"/>
      <c r="FHQ8" s="216"/>
      <c r="FHR8" s="216"/>
      <c r="FHS8" s="216"/>
      <c r="FHT8" s="216"/>
      <c r="FHU8" s="216"/>
      <c r="FHV8" s="216"/>
      <c r="FHW8" s="216"/>
      <c r="FHX8" s="216"/>
      <c r="FHY8" s="216"/>
      <c r="FHZ8" s="216"/>
      <c r="FIA8" s="216"/>
      <c r="FIB8" s="216"/>
      <c r="FIC8" s="216"/>
      <c r="FID8" s="216"/>
      <c r="FIE8" s="216"/>
      <c r="FIF8" s="216"/>
      <c r="FIG8" s="216"/>
      <c r="FIH8" s="216"/>
      <c r="FII8" s="216"/>
      <c r="FIJ8" s="216"/>
      <c r="FIK8" s="216"/>
      <c r="FIL8" s="216"/>
      <c r="FIM8" s="216"/>
      <c r="FIN8" s="216"/>
      <c r="FIO8" s="216"/>
      <c r="FIP8" s="216"/>
      <c r="FIQ8" s="216"/>
      <c r="FIR8" s="216"/>
      <c r="FIS8" s="216"/>
      <c r="FIT8" s="216"/>
      <c r="FIU8" s="216"/>
      <c r="FIV8" s="216"/>
      <c r="FIW8" s="216"/>
      <c r="FIX8" s="216"/>
      <c r="FIY8" s="216"/>
      <c r="FIZ8" s="216"/>
      <c r="FJA8" s="216"/>
      <c r="FJB8" s="216"/>
      <c r="FJC8" s="216"/>
      <c r="FJD8" s="216"/>
      <c r="FJE8" s="216"/>
      <c r="FJF8" s="216"/>
      <c r="FJG8" s="216"/>
      <c r="FJH8" s="216"/>
      <c r="FJI8" s="216"/>
      <c r="FJJ8" s="216"/>
      <c r="FJK8" s="216"/>
      <c r="FJL8" s="216"/>
      <c r="FJM8" s="216"/>
      <c r="FJN8" s="216"/>
      <c r="FJO8" s="216"/>
      <c r="FJP8" s="216"/>
      <c r="FJQ8" s="216"/>
      <c r="FJR8" s="216"/>
      <c r="FJS8" s="216"/>
      <c r="FJT8" s="216"/>
      <c r="FJU8" s="216"/>
      <c r="FJV8" s="216"/>
      <c r="FJW8" s="216"/>
      <c r="FJX8" s="216"/>
      <c r="FJY8" s="216"/>
      <c r="FJZ8" s="216"/>
      <c r="FKA8" s="216"/>
      <c r="FKB8" s="216"/>
      <c r="FKC8" s="216"/>
      <c r="FKD8" s="216"/>
      <c r="FKE8" s="216"/>
      <c r="FKF8" s="216"/>
      <c r="FKG8" s="216"/>
      <c r="FKH8" s="216"/>
      <c r="FKI8" s="216"/>
      <c r="FKJ8" s="216"/>
      <c r="FKK8" s="216"/>
      <c r="FKL8" s="216"/>
      <c r="FKM8" s="216"/>
      <c r="FKN8" s="216"/>
      <c r="FKO8" s="216"/>
      <c r="FKP8" s="216"/>
      <c r="FKQ8" s="216"/>
      <c r="FKR8" s="216"/>
      <c r="FKS8" s="216"/>
      <c r="FKT8" s="216"/>
      <c r="FKU8" s="216"/>
      <c r="FKV8" s="216"/>
      <c r="FKW8" s="216"/>
      <c r="FKX8" s="216"/>
      <c r="FKY8" s="216"/>
      <c r="FKZ8" s="216"/>
      <c r="FLA8" s="216"/>
      <c r="FLB8" s="216"/>
      <c r="FLC8" s="216"/>
      <c r="FLD8" s="216"/>
      <c r="FLE8" s="216"/>
      <c r="FLF8" s="216"/>
      <c r="FLG8" s="216"/>
      <c r="FLH8" s="216"/>
      <c r="FLI8" s="216"/>
      <c r="FLJ8" s="216"/>
      <c r="FLK8" s="216"/>
      <c r="FLL8" s="216"/>
      <c r="FLM8" s="216"/>
      <c r="FLN8" s="216"/>
      <c r="FLO8" s="216"/>
      <c r="FLP8" s="216"/>
      <c r="FLQ8" s="216"/>
      <c r="FLR8" s="216"/>
      <c r="FLS8" s="216"/>
      <c r="FLT8" s="216"/>
      <c r="FLU8" s="216"/>
      <c r="FLV8" s="216"/>
      <c r="FLW8" s="216"/>
      <c r="FLX8" s="216"/>
      <c r="FLY8" s="216"/>
      <c r="FLZ8" s="216"/>
      <c r="FMA8" s="216"/>
      <c r="FMB8" s="216"/>
      <c r="FMC8" s="216"/>
      <c r="FMD8" s="216"/>
      <c r="FME8" s="216"/>
      <c r="FMF8" s="216"/>
      <c r="FMG8" s="216"/>
      <c r="FMH8" s="216"/>
      <c r="FMI8" s="216"/>
      <c r="FMJ8" s="216"/>
      <c r="FMK8" s="216"/>
      <c r="FML8" s="216"/>
      <c r="FMM8" s="216"/>
      <c r="FMN8" s="216"/>
      <c r="FMO8" s="216"/>
      <c r="FMP8" s="216"/>
      <c r="FMQ8" s="216"/>
      <c r="FMR8" s="216"/>
      <c r="FMS8" s="216"/>
      <c r="FMT8" s="216"/>
      <c r="FMU8" s="216"/>
      <c r="FMV8" s="216"/>
      <c r="FMW8" s="216"/>
      <c r="FMX8" s="216"/>
      <c r="FMY8" s="216"/>
      <c r="FMZ8" s="216"/>
      <c r="FNA8" s="216"/>
      <c r="FNB8" s="216"/>
      <c r="FNC8" s="216"/>
      <c r="FND8" s="216"/>
      <c r="FNE8" s="216"/>
      <c r="FNF8" s="216"/>
      <c r="FNG8" s="216"/>
      <c r="FNH8" s="216"/>
      <c r="FNI8" s="216"/>
      <c r="FNJ8" s="216"/>
      <c r="FNK8" s="216"/>
      <c r="FNL8" s="216"/>
      <c r="FNM8" s="216"/>
      <c r="FNN8" s="216"/>
      <c r="FNO8" s="216"/>
      <c r="FNP8" s="216"/>
      <c r="FNQ8" s="216"/>
      <c r="FNR8" s="216"/>
      <c r="FNS8" s="216"/>
      <c r="FNT8" s="216"/>
      <c r="FNU8" s="216"/>
      <c r="FNV8" s="216"/>
      <c r="FNW8" s="216"/>
      <c r="FNX8" s="216"/>
      <c r="FNY8" s="216"/>
      <c r="FNZ8" s="216"/>
      <c r="FOA8" s="216"/>
      <c r="FOB8" s="216"/>
      <c r="FOC8" s="216"/>
      <c r="FOD8" s="216"/>
      <c r="FOE8" s="216"/>
      <c r="FOF8" s="216"/>
      <c r="FOG8" s="216"/>
      <c r="FOH8" s="216"/>
      <c r="FOI8" s="216"/>
      <c r="FOJ8" s="216"/>
      <c r="FOK8" s="216"/>
      <c r="FOL8" s="216"/>
      <c r="FOM8" s="216"/>
      <c r="FON8" s="216"/>
      <c r="FOO8" s="216"/>
      <c r="FOP8" s="216"/>
      <c r="FOQ8" s="216"/>
      <c r="FOR8" s="216"/>
      <c r="FOS8" s="216"/>
      <c r="FOT8" s="216"/>
      <c r="FOU8" s="216"/>
      <c r="FOV8" s="216"/>
      <c r="FOW8" s="216"/>
      <c r="FOX8" s="216"/>
      <c r="FOY8" s="216"/>
      <c r="FOZ8" s="216"/>
      <c r="FPA8" s="216"/>
      <c r="FPB8" s="216"/>
      <c r="FPC8" s="216"/>
      <c r="FPD8" s="216"/>
      <c r="FPE8" s="216"/>
      <c r="FPF8" s="216"/>
      <c r="FPG8" s="216"/>
      <c r="FPH8" s="216"/>
      <c r="FPI8" s="216"/>
      <c r="FPJ8" s="216"/>
      <c r="FPK8" s="216"/>
      <c r="FPL8" s="216"/>
      <c r="FPM8" s="216"/>
      <c r="FPN8" s="216"/>
      <c r="FPO8" s="216"/>
      <c r="FPP8" s="216"/>
      <c r="FPQ8" s="216"/>
      <c r="FPR8" s="216"/>
      <c r="FPS8" s="216"/>
      <c r="FPT8" s="216"/>
      <c r="FPU8" s="216"/>
      <c r="FPV8" s="216"/>
      <c r="FPW8" s="216"/>
      <c r="FPX8" s="216"/>
      <c r="FPY8" s="216"/>
      <c r="FPZ8" s="216"/>
      <c r="FQA8" s="216"/>
      <c r="FQB8" s="216"/>
      <c r="FQC8" s="216"/>
      <c r="FQD8" s="216"/>
      <c r="FQE8" s="216"/>
      <c r="FQF8" s="216"/>
      <c r="FQG8" s="216"/>
      <c r="FQH8" s="216"/>
      <c r="FQI8" s="216"/>
      <c r="FQJ8" s="216"/>
      <c r="FQK8" s="216"/>
      <c r="FQL8" s="216"/>
      <c r="FQM8" s="216"/>
      <c r="FQN8" s="216"/>
      <c r="FQO8" s="216"/>
      <c r="FQP8" s="216"/>
      <c r="FQQ8" s="216"/>
      <c r="FQR8" s="216"/>
      <c r="FQS8" s="216"/>
      <c r="FQT8" s="216"/>
      <c r="FQU8" s="216"/>
      <c r="FQV8" s="216"/>
      <c r="FQW8" s="216"/>
      <c r="FQX8" s="216"/>
      <c r="FQY8" s="216"/>
      <c r="FQZ8" s="216"/>
      <c r="FRA8" s="216"/>
      <c r="FRB8" s="216"/>
      <c r="FRC8" s="216"/>
      <c r="FRD8" s="216"/>
      <c r="FRE8" s="216"/>
      <c r="FRF8" s="216"/>
      <c r="FRG8" s="216"/>
      <c r="FRH8" s="216"/>
      <c r="FRI8" s="216"/>
      <c r="FRJ8" s="216"/>
      <c r="FRK8" s="216"/>
      <c r="FRL8" s="216"/>
      <c r="FRM8" s="216"/>
      <c r="FRN8" s="216"/>
      <c r="FRO8" s="216"/>
      <c r="FRP8" s="216"/>
      <c r="FRQ8" s="216"/>
      <c r="FRR8" s="216"/>
      <c r="FRS8" s="216"/>
      <c r="FRT8" s="216"/>
      <c r="FRU8" s="216"/>
      <c r="FRV8" s="216"/>
      <c r="FRW8" s="216"/>
      <c r="FRX8" s="216"/>
      <c r="FRY8" s="216"/>
      <c r="FRZ8" s="216"/>
      <c r="FSA8" s="216"/>
      <c r="FSB8" s="216"/>
      <c r="FSC8" s="216"/>
      <c r="FSD8" s="216"/>
      <c r="FSE8" s="216"/>
      <c r="FSF8" s="216"/>
      <c r="FSG8" s="216"/>
      <c r="FSH8" s="216"/>
      <c r="FSI8" s="216"/>
      <c r="FSJ8" s="216"/>
      <c r="FSK8" s="216"/>
      <c r="FSL8" s="216"/>
      <c r="FSM8" s="216"/>
      <c r="FSN8" s="216"/>
      <c r="FSO8" s="216"/>
      <c r="FSP8" s="216"/>
      <c r="FSQ8" s="216"/>
      <c r="FSR8" s="216"/>
      <c r="FSS8" s="216"/>
      <c r="FST8" s="216"/>
      <c r="FSU8" s="216"/>
      <c r="FSV8" s="216"/>
      <c r="FSW8" s="216"/>
      <c r="FSX8" s="216"/>
      <c r="FSY8" s="216"/>
      <c r="FSZ8" s="216"/>
      <c r="FTA8" s="216"/>
      <c r="FTB8" s="216"/>
      <c r="FTC8" s="216"/>
      <c r="FTD8" s="216"/>
      <c r="FTE8" s="216"/>
      <c r="FTF8" s="216"/>
      <c r="FTG8" s="216"/>
      <c r="FTH8" s="216"/>
      <c r="FTI8" s="216"/>
      <c r="FTJ8" s="216"/>
      <c r="FTK8" s="216"/>
      <c r="FTL8" s="216"/>
      <c r="FTM8" s="216"/>
      <c r="FTN8" s="216"/>
      <c r="FTO8" s="216"/>
      <c r="FTP8" s="216"/>
      <c r="FTQ8" s="216"/>
      <c r="FTR8" s="216"/>
      <c r="FTS8" s="216"/>
      <c r="FTT8" s="216"/>
      <c r="FTU8" s="216"/>
      <c r="FTV8" s="216"/>
      <c r="FTW8" s="216"/>
      <c r="FTX8" s="216"/>
      <c r="FTY8" s="216"/>
      <c r="FTZ8" s="216"/>
      <c r="FUA8" s="216"/>
      <c r="FUB8" s="216"/>
      <c r="FUC8" s="216"/>
      <c r="FUD8" s="216"/>
      <c r="FUE8" s="216"/>
      <c r="FUF8" s="216"/>
      <c r="FUG8" s="216"/>
      <c r="FUH8" s="216"/>
      <c r="FUI8" s="216"/>
      <c r="FUJ8" s="216"/>
      <c r="FUK8" s="216"/>
      <c r="FUL8" s="216"/>
      <c r="FUM8" s="216"/>
      <c r="FUN8" s="216"/>
      <c r="FUO8" s="216"/>
      <c r="FUP8" s="216"/>
      <c r="FUQ8" s="216"/>
      <c r="FUR8" s="216"/>
      <c r="FUS8" s="216"/>
      <c r="FUT8" s="216"/>
      <c r="FUU8" s="216"/>
      <c r="FUV8" s="216"/>
      <c r="FUW8" s="216"/>
      <c r="FUX8" s="216"/>
      <c r="FUY8" s="216"/>
      <c r="FUZ8" s="216"/>
      <c r="FVA8" s="216"/>
      <c r="FVB8" s="216"/>
      <c r="FVC8" s="216"/>
      <c r="FVD8" s="216"/>
      <c r="FVE8" s="216"/>
      <c r="FVF8" s="216"/>
      <c r="FVG8" s="216"/>
      <c r="FVH8" s="216"/>
      <c r="FVI8" s="216"/>
      <c r="FVJ8" s="216"/>
      <c r="FVK8" s="216"/>
      <c r="FVL8" s="216"/>
      <c r="FVM8" s="216"/>
      <c r="FVN8" s="216"/>
      <c r="FVO8" s="216"/>
      <c r="FVP8" s="216"/>
      <c r="FVQ8" s="216"/>
      <c r="FVR8" s="216"/>
      <c r="FVS8" s="216"/>
      <c r="FVT8" s="216"/>
      <c r="FVU8" s="216"/>
      <c r="FVV8" s="216"/>
      <c r="FVW8" s="216"/>
      <c r="FVX8" s="216"/>
      <c r="FVY8" s="216"/>
      <c r="FVZ8" s="216"/>
      <c r="FWA8" s="216"/>
      <c r="FWB8" s="216"/>
      <c r="FWC8" s="216"/>
      <c r="FWD8" s="216"/>
      <c r="FWE8" s="216"/>
      <c r="FWF8" s="216"/>
      <c r="FWG8" s="216"/>
      <c r="FWH8" s="216"/>
      <c r="FWI8" s="216"/>
      <c r="FWJ8" s="216"/>
      <c r="FWK8" s="216"/>
      <c r="FWL8" s="216"/>
      <c r="FWM8" s="216"/>
      <c r="FWN8" s="216"/>
      <c r="FWO8" s="216"/>
      <c r="FWP8" s="216"/>
      <c r="FWQ8" s="216"/>
      <c r="FWR8" s="216"/>
      <c r="FWS8" s="216"/>
      <c r="FWT8" s="216"/>
      <c r="FWU8" s="216"/>
      <c r="FWV8" s="216"/>
      <c r="FWW8" s="216"/>
      <c r="FWX8" s="216"/>
      <c r="FWY8" s="216"/>
      <c r="FWZ8" s="216"/>
      <c r="FXA8" s="216"/>
      <c r="FXB8" s="216"/>
      <c r="FXC8" s="216"/>
      <c r="FXD8" s="216"/>
      <c r="FXE8" s="216"/>
      <c r="FXF8" s="216"/>
      <c r="FXG8" s="216"/>
      <c r="FXH8" s="216"/>
      <c r="FXI8" s="216"/>
      <c r="FXJ8" s="216"/>
      <c r="FXK8" s="216"/>
      <c r="FXL8" s="216"/>
      <c r="FXM8" s="216"/>
      <c r="FXN8" s="216"/>
      <c r="FXO8" s="216"/>
      <c r="FXP8" s="216"/>
      <c r="FXQ8" s="216"/>
      <c r="FXR8" s="216"/>
      <c r="FXS8" s="216"/>
      <c r="FXT8" s="216"/>
      <c r="FXU8" s="216"/>
      <c r="FXV8" s="216"/>
      <c r="FXW8" s="216"/>
      <c r="FXX8" s="216"/>
      <c r="FXY8" s="216"/>
      <c r="FXZ8" s="216"/>
      <c r="FYA8" s="216"/>
      <c r="FYB8" s="216"/>
      <c r="FYC8" s="216"/>
      <c r="FYD8" s="216"/>
      <c r="FYE8" s="216"/>
      <c r="FYF8" s="216"/>
      <c r="FYG8" s="216"/>
      <c r="FYH8" s="216"/>
      <c r="FYI8" s="216"/>
      <c r="FYJ8" s="216"/>
      <c r="FYK8" s="216"/>
      <c r="FYL8" s="216"/>
      <c r="FYM8" s="216"/>
      <c r="FYN8" s="216"/>
      <c r="FYO8" s="216"/>
      <c r="FYP8" s="216"/>
      <c r="FYQ8" s="216"/>
      <c r="FYR8" s="216"/>
      <c r="FYS8" s="216"/>
      <c r="FYT8" s="216"/>
      <c r="FYU8" s="216"/>
      <c r="FYV8" s="216"/>
      <c r="FYW8" s="216"/>
      <c r="FYX8" s="216"/>
      <c r="FYY8" s="216"/>
      <c r="FYZ8" s="216"/>
      <c r="FZA8" s="216"/>
      <c r="FZB8" s="216"/>
      <c r="FZC8" s="216"/>
      <c r="FZD8" s="216"/>
      <c r="FZE8" s="216"/>
      <c r="FZF8" s="216"/>
      <c r="FZG8" s="216"/>
      <c r="FZH8" s="216"/>
      <c r="FZI8" s="216"/>
      <c r="FZJ8" s="216"/>
      <c r="FZK8" s="216"/>
      <c r="FZL8" s="216"/>
      <c r="FZM8" s="216"/>
      <c r="FZN8" s="216"/>
      <c r="FZO8" s="216"/>
      <c r="FZP8" s="216"/>
      <c r="FZQ8" s="216"/>
      <c r="FZR8" s="216"/>
      <c r="FZS8" s="216"/>
      <c r="FZT8" s="216"/>
      <c r="FZU8" s="216"/>
      <c r="FZV8" s="216"/>
      <c r="FZW8" s="216"/>
      <c r="FZX8" s="216"/>
      <c r="FZY8" s="216"/>
      <c r="FZZ8" s="216"/>
      <c r="GAA8" s="216"/>
      <c r="GAB8" s="216"/>
      <c r="GAC8" s="216"/>
      <c r="GAD8" s="216"/>
      <c r="GAE8" s="216"/>
      <c r="GAF8" s="216"/>
      <c r="GAG8" s="216"/>
      <c r="GAH8" s="216"/>
      <c r="GAI8" s="216"/>
      <c r="GAJ8" s="216"/>
      <c r="GAK8" s="216"/>
      <c r="GAL8" s="216"/>
      <c r="GAM8" s="216"/>
      <c r="GAN8" s="216"/>
      <c r="GAO8" s="216"/>
      <c r="GAP8" s="216"/>
      <c r="GAQ8" s="216"/>
      <c r="GAR8" s="216"/>
      <c r="GAS8" s="216"/>
      <c r="GAT8" s="216"/>
      <c r="GAU8" s="216"/>
      <c r="GAV8" s="216"/>
      <c r="GAW8" s="216"/>
      <c r="GAX8" s="216"/>
      <c r="GAY8" s="216"/>
      <c r="GAZ8" s="216"/>
      <c r="GBA8" s="216"/>
      <c r="GBB8" s="216"/>
      <c r="GBC8" s="216"/>
      <c r="GBD8" s="216"/>
      <c r="GBE8" s="216"/>
      <c r="GBF8" s="216"/>
      <c r="GBG8" s="216"/>
      <c r="GBH8" s="216"/>
      <c r="GBI8" s="216"/>
      <c r="GBJ8" s="216"/>
      <c r="GBK8" s="216"/>
      <c r="GBL8" s="216"/>
      <c r="GBM8" s="216"/>
      <c r="GBN8" s="216"/>
      <c r="GBO8" s="216"/>
      <c r="GBP8" s="216"/>
      <c r="GBQ8" s="216"/>
      <c r="GBR8" s="216"/>
      <c r="GBS8" s="216"/>
      <c r="GBT8" s="216"/>
      <c r="GBU8" s="216"/>
      <c r="GBV8" s="216"/>
      <c r="GBW8" s="216"/>
      <c r="GBX8" s="216"/>
      <c r="GBY8" s="216"/>
      <c r="GBZ8" s="216"/>
      <c r="GCA8" s="216"/>
      <c r="GCB8" s="216"/>
      <c r="GCC8" s="216"/>
      <c r="GCD8" s="216"/>
      <c r="GCE8" s="216"/>
      <c r="GCF8" s="216"/>
      <c r="GCG8" s="216"/>
      <c r="GCH8" s="216"/>
      <c r="GCI8" s="216"/>
      <c r="GCJ8" s="216"/>
      <c r="GCK8" s="216"/>
      <c r="GCL8" s="216"/>
      <c r="GCM8" s="216"/>
      <c r="GCN8" s="216"/>
      <c r="GCO8" s="216"/>
      <c r="GCP8" s="216"/>
      <c r="GCQ8" s="216"/>
      <c r="GCR8" s="216"/>
      <c r="GCS8" s="216"/>
      <c r="GCT8" s="216"/>
      <c r="GCU8" s="216"/>
      <c r="GCV8" s="216"/>
      <c r="GCW8" s="216"/>
      <c r="GCX8" s="216"/>
      <c r="GCY8" s="216"/>
      <c r="GCZ8" s="216"/>
      <c r="GDA8" s="216"/>
      <c r="GDB8" s="216"/>
      <c r="GDC8" s="216"/>
      <c r="GDD8" s="216"/>
      <c r="GDE8" s="216"/>
      <c r="GDF8" s="216"/>
      <c r="GDG8" s="216"/>
      <c r="GDH8" s="216"/>
      <c r="GDI8" s="216"/>
      <c r="GDJ8" s="216"/>
      <c r="GDK8" s="216"/>
      <c r="GDL8" s="216"/>
      <c r="GDM8" s="216"/>
      <c r="GDN8" s="216"/>
      <c r="GDO8" s="216"/>
      <c r="GDP8" s="216"/>
      <c r="GDQ8" s="216"/>
      <c r="GDR8" s="216"/>
      <c r="GDS8" s="216"/>
      <c r="GDT8" s="216"/>
      <c r="GDU8" s="216"/>
      <c r="GDV8" s="216"/>
      <c r="GDW8" s="216"/>
      <c r="GDX8" s="216"/>
      <c r="GDY8" s="216"/>
      <c r="GDZ8" s="216"/>
      <c r="GEA8" s="216"/>
      <c r="GEB8" s="216"/>
      <c r="GEC8" s="216"/>
      <c r="GED8" s="216"/>
      <c r="GEE8" s="216"/>
      <c r="GEF8" s="216"/>
      <c r="GEG8" s="216"/>
      <c r="GEH8" s="216"/>
      <c r="GEI8" s="216"/>
      <c r="GEJ8" s="216"/>
      <c r="GEK8" s="216"/>
      <c r="GEL8" s="216"/>
      <c r="GEM8" s="216"/>
      <c r="GEN8" s="216"/>
      <c r="GEO8" s="216"/>
      <c r="GEP8" s="216"/>
      <c r="GEQ8" s="216"/>
      <c r="GER8" s="216"/>
      <c r="GES8" s="216"/>
      <c r="GET8" s="216"/>
      <c r="GEU8" s="216"/>
      <c r="GEV8" s="216"/>
      <c r="GEW8" s="216"/>
      <c r="GEX8" s="216"/>
      <c r="GEY8" s="216"/>
      <c r="GEZ8" s="216"/>
      <c r="GFA8" s="216"/>
      <c r="GFB8" s="216"/>
      <c r="GFC8" s="216"/>
      <c r="GFD8" s="216"/>
      <c r="GFE8" s="216"/>
      <c r="GFF8" s="216"/>
      <c r="GFG8" s="216"/>
      <c r="GFH8" s="216"/>
      <c r="GFI8" s="216"/>
      <c r="GFJ8" s="216"/>
      <c r="GFK8" s="216"/>
      <c r="GFL8" s="216"/>
      <c r="GFM8" s="216"/>
      <c r="GFN8" s="216"/>
      <c r="GFO8" s="216"/>
      <c r="GFP8" s="216"/>
      <c r="GFQ8" s="216"/>
      <c r="GFR8" s="216"/>
      <c r="GFS8" s="216"/>
      <c r="GFT8" s="216"/>
      <c r="GFU8" s="216"/>
      <c r="GFV8" s="216"/>
      <c r="GFW8" s="216"/>
      <c r="GFX8" s="216"/>
      <c r="GFY8" s="216"/>
      <c r="GFZ8" s="216"/>
      <c r="GGA8" s="216"/>
      <c r="GGB8" s="216"/>
      <c r="GGC8" s="216"/>
      <c r="GGD8" s="216"/>
      <c r="GGE8" s="216"/>
      <c r="GGF8" s="216"/>
      <c r="GGG8" s="216"/>
      <c r="GGH8" s="216"/>
      <c r="GGI8" s="216"/>
      <c r="GGJ8" s="216"/>
      <c r="GGK8" s="216"/>
      <c r="GGL8" s="216"/>
      <c r="GGM8" s="216"/>
      <c r="GGN8" s="216"/>
      <c r="GGO8" s="216"/>
      <c r="GGP8" s="216"/>
      <c r="GGQ8" s="216"/>
      <c r="GGR8" s="216"/>
      <c r="GGS8" s="216"/>
      <c r="GGT8" s="216"/>
      <c r="GGU8" s="216"/>
      <c r="GGV8" s="216"/>
      <c r="GGW8" s="216"/>
      <c r="GGX8" s="216"/>
      <c r="GGY8" s="216"/>
      <c r="GGZ8" s="216"/>
      <c r="GHA8" s="216"/>
      <c r="GHB8" s="216"/>
      <c r="GHC8" s="216"/>
      <c r="GHD8" s="216"/>
      <c r="GHE8" s="216"/>
      <c r="GHF8" s="216"/>
      <c r="GHG8" s="216"/>
      <c r="GHH8" s="216"/>
      <c r="GHI8" s="216"/>
      <c r="GHJ8" s="216"/>
      <c r="GHK8" s="216"/>
      <c r="GHL8" s="216"/>
      <c r="GHM8" s="216"/>
      <c r="GHN8" s="216"/>
      <c r="GHO8" s="216"/>
      <c r="GHP8" s="216"/>
      <c r="GHQ8" s="216"/>
      <c r="GHR8" s="216"/>
      <c r="GHS8" s="216"/>
      <c r="GHT8" s="216"/>
      <c r="GHU8" s="216"/>
      <c r="GHV8" s="216"/>
      <c r="GHW8" s="216"/>
      <c r="GHX8" s="216"/>
      <c r="GHY8" s="216"/>
      <c r="GHZ8" s="216"/>
      <c r="GIA8" s="216"/>
      <c r="GIB8" s="216"/>
      <c r="GIC8" s="216"/>
      <c r="GID8" s="216"/>
      <c r="GIE8" s="216"/>
      <c r="GIF8" s="216"/>
      <c r="GIG8" s="216"/>
      <c r="GIH8" s="216"/>
      <c r="GII8" s="216"/>
      <c r="GIJ8" s="216"/>
      <c r="GIK8" s="216"/>
      <c r="GIL8" s="216"/>
      <c r="GIM8" s="216"/>
      <c r="GIN8" s="216"/>
      <c r="GIO8" s="216"/>
      <c r="GIP8" s="216"/>
      <c r="GIQ8" s="216"/>
      <c r="GIR8" s="216"/>
      <c r="GIS8" s="216"/>
      <c r="GIT8" s="216"/>
      <c r="GIU8" s="216"/>
      <c r="GIV8" s="216"/>
      <c r="GIW8" s="216"/>
      <c r="GIX8" s="216"/>
      <c r="GIY8" s="216"/>
      <c r="GIZ8" s="216"/>
      <c r="GJA8" s="216"/>
      <c r="GJB8" s="216"/>
      <c r="GJC8" s="216"/>
      <c r="GJD8" s="216"/>
      <c r="GJE8" s="216"/>
      <c r="GJF8" s="216"/>
      <c r="GJG8" s="216"/>
      <c r="GJH8" s="216"/>
      <c r="GJI8" s="216"/>
      <c r="GJJ8" s="216"/>
      <c r="GJK8" s="216"/>
      <c r="GJL8" s="216"/>
      <c r="GJM8" s="216"/>
      <c r="GJN8" s="216"/>
      <c r="GJO8" s="216"/>
      <c r="GJP8" s="216"/>
      <c r="GJQ8" s="216"/>
      <c r="GJR8" s="216"/>
      <c r="GJS8" s="216"/>
      <c r="GJT8" s="216"/>
      <c r="GJU8" s="216"/>
      <c r="GJV8" s="216"/>
      <c r="GJW8" s="216"/>
      <c r="GJX8" s="216"/>
      <c r="GJY8" s="216"/>
      <c r="GJZ8" s="216"/>
      <c r="GKA8" s="216"/>
      <c r="GKB8" s="216"/>
      <c r="GKC8" s="216"/>
      <c r="GKD8" s="216"/>
      <c r="GKE8" s="216"/>
      <c r="GKF8" s="216"/>
      <c r="GKG8" s="216"/>
      <c r="GKH8" s="216"/>
      <c r="GKI8" s="216"/>
      <c r="GKJ8" s="216"/>
      <c r="GKK8" s="216"/>
      <c r="GKL8" s="216"/>
      <c r="GKM8" s="216"/>
      <c r="GKN8" s="216"/>
      <c r="GKO8" s="216"/>
      <c r="GKP8" s="216"/>
      <c r="GKQ8" s="216"/>
      <c r="GKR8" s="216"/>
      <c r="GKS8" s="216"/>
      <c r="GKT8" s="216"/>
      <c r="GKU8" s="216"/>
      <c r="GKV8" s="216"/>
      <c r="GKW8" s="216"/>
      <c r="GKX8" s="216"/>
      <c r="GKY8" s="216"/>
      <c r="GKZ8" s="216"/>
      <c r="GLA8" s="216"/>
      <c r="GLB8" s="216"/>
      <c r="GLC8" s="216"/>
      <c r="GLD8" s="216"/>
      <c r="GLE8" s="216"/>
      <c r="GLF8" s="216"/>
      <c r="GLG8" s="216"/>
      <c r="GLH8" s="216"/>
      <c r="GLI8" s="216"/>
      <c r="GLJ8" s="216"/>
      <c r="GLK8" s="216"/>
      <c r="GLL8" s="216"/>
      <c r="GLM8" s="216"/>
      <c r="GLN8" s="216"/>
      <c r="GLO8" s="216"/>
      <c r="GLP8" s="216"/>
      <c r="GLQ8" s="216"/>
      <c r="GLR8" s="216"/>
      <c r="GLS8" s="216"/>
      <c r="GLT8" s="216"/>
      <c r="GLU8" s="216"/>
      <c r="GLV8" s="216"/>
      <c r="GLW8" s="216"/>
      <c r="GLX8" s="216"/>
      <c r="GLY8" s="216"/>
      <c r="GLZ8" s="216"/>
      <c r="GMA8" s="216"/>
      <c r="GMB8" s="216"/>
      <c r="GMC8" s="216"/>
      <c r="GMD8" s="216"/>
      <c r="GME8" s="216"/>
      <c r="GMF8" s="216"/>
      <c r="GMG8" s="216"/>
      <c r="GMH8" s="216"/>
      <c r="GMI8" s="216"/>
      <c r="GMJ8" s="216"/>
      <c r="GMK8" s="216"/>
      <c r="GML8" s="216"/>
      <c r="GMM8" s="216"/>
      <c r="GMN8" s="216"/>
      <c r="GMO8" s="216"/>
      <c r="GMP8" s="216"/>
      <c r="GMQ8" s="216"/>
      <c r="GMR8" s="216"/>
      <c r="GMS8" s="216"/>
      <c r="GMT8" s="216"/>
      <c r="GMU8" s="216"/>
      <c r="GMV8" s="216"/>
      <c r="GMW8" s="216"/>
      <c r="GMX8" s="216"/>
      <c r="GMY8" s="216"/>
      <c r="GMZ8" s="216"/>
      <c r="GNA8" s="216"/>
      <c r="GNB8" s="216"/>
      <c r="GNC8" s="216"/>
      <c r="GND8" s="216"/>
      <c r="GNE8" s="216"/>
      <c r="GNF8" s="216"/>
      <c r="GNG8" s="216"/>
      <c r="GNH8" s="216"/>
      <c r="GNI8" s="216"/>
      <c r="GNJ8" s="216"/>
      <c r="GNK8" s="216"/>
      <c r="GNL8" s="216"/>
      <c r="GNM8" s="216"/>
      <c r="GNN8" s="216"/>
      <c r="GNO8" s="216"/>
      <c r="GNP8" s="216"/>
      <c r="GNQ8" s="216"/>
      <c r="GNR8" s="216"/>
      <c r="GNS8" s="216"/>
      <c r="GNT8" s="216"/>
      <c r="GNU8" s="216"/>
      <c r="GNV8" s="216"/>
      <c r="GNW8" s="216"/>
      <c r="GNX8" s="216"/>
      <c r="GNY8" s="216"/>
      <c r="GNZ8" s="216"/>
      <c r="GOA8" s="216"/>
      <c r="GOB8" s="216"/>
      <c r="GOC8" s="216"/>
      <c r="GOD8" s="216"/>
      <c r="GOE8" s="216"/>
      <c r="GOF8" s="216"/>
      <c r="GOG8" s="216"/>
      <c r="GOH8" s="216"/>
      <c r="GOI8" s="216"/>
      <c r="GOJ8" s="216"/>
      <c r="GOK8" s="216"/>
      <c r="GOL8" s="216"/>
      <c r="GOM8" s="216"/>
      <c r="GON8" s="216"/>
      <c r="GOO8" s="216"/>
      <c r="GOP8" s="216"/>
      <c r="GOQ8" s="216"/>
      <c r="GOR8" s="216"/>
      <c r="GOS8" s="216"/>
      <c r="GOT8" s="216"/>
      <c r="GOU8" s="216"/>
      <c r="GOV8" s="216"/>
      <c r="GOW8" s="216"/>
      <c r="GOX8" s="216"/>
      <c r="GOY8" s="216"/>
      <c r="GOZ8" s="216"/>
      <c r="GPA8" s="216"/>
      <c r="GPB8" s="216"/>
      <c r="GPC8" s="216"/>
      <c r="GPD8" s="216"/>
      <c r="GPE8" s="216"/>
      <c r="GPF8" s="216"/>
      <c r="GPG8" s="216"/>
      <c r="GPH8" s="216"/>
      <c r="GPI8" s="216"/>
      <c r="GPJ8" s="216"/>
      <c r="GPK8" s="216"/>
      <c r="GPL8" s="216"/>
      <c r="GPM8" s="216"/>
      <c r="GPN8" s="216"/>
      <c r="GPO8" s="216"/>
      <c r="GPP8" s="216"/>
      <c r="GPQ8" s="216"/>
      <c r="GPR8" s="216"/>
      <c r="GPS8" s="216"/>
      <c r="GPT8" s="216"/>
      <c r="GPU8" s="216"/>
      <c r="GPV8" s="216"/>
      <c r="GPW8" s="216"/>
      <c r="GPX8" s="216"/>
      <c r="GPY8" s="216"/>
      <c r="GPZ8" s="216"/>
      <c r="GQA8" s="216"/>
      <c r="GQB8" s="216"/>
      <c r="GQC8" s="216"/>
      <c r="GQD8" s="216"/>
      <c r="GQE8" s="216"/>
      <c r="GQF8" s="216"/>
      <c r="GQG8" s="216"/>
      <c r="GQH8" s="216"/>
      <c r="GQI8" s="216"/>
      <c r="GQJ8" s="216"/>
      <c r="GQK8" s="216"/>
      <c r="GQL8" s="216"/>
      <c r="GQM8" s="216"/>
      <c r="GQN8" s="216"/>
      <c r="GQO8" s="216"/>
      <c r="GQP8" s="216"/>
      <c r="GQQ8" s="216"/>
      <c r="GQR8" s="216"/>
      <c r="GQS8" s="216"/>
      <c r="GQT8" s="216"/>
      <c r="GQU8" s="216"/>
      <c r="GQV8" s="216"/>
      <c r="GQW8" s="216"/>
      <c r="GQX8" s="216"/>
      <c r="GQY8" s="216"/>
      <c r="GQZ8" s="216"/>
      <c r="GRA8" s="216"/>
      <c r="GRB8" s="216"/>
      <c r="GRC8" s="216"/>
      <c r="GRD8" s="216"/>
      <c r="GRE8" s="216"/>
      <c r="GRF8" s="216"/>
      <c r="GRG8" s="216"/>
      <c r="GRH8" s="216"/>
      <c r="GRI8" s="216"/>
      <c r="GRJ8" s="216"/>
      <c r="GRK8" s="216"/>
      <c r="GRL8" s="216"/>
      <c r="GRM8" s="216"/>
      <c r="GRN8" s="216"/>
      <c r="GRO8" s="216"/>
      <c r="GRP8" s="216"/>
      <c r="GRQ8" s="216"/>
      <c r="GRR8" s="216"/>
      <c r="GRS8" s="216"/>
      <c r="GRT8" s="216"/>
      <c r="GRU8" s="216"/>
      <c r="GRV8" s="216"/>
      <c r="GRW8" s="216"/>
      <c r="GRX8" s="216"/>
      <c r="GRY8" s="216"/>
      <c r="GRZ8" s="216"/>
      <c r="GSA8" s="216"/>
      <c r="GSB8" s="216"/>
      <c r="GSC8" s="216"/>
      <c r="GSD8" s="216"/>
      <c r="GSE8" s="216"/>
      <c r="GSF8" s="216"/>
      <c r="GSG8" s="216"/>
      <c r="GSH8" s="216"/>
      <c r="GSI8" s="216"/>
      <c r="GSJ8" s="216"/>
      <c r="GSK8" s="216"/>
      <c r="GSL8" s="216"/>
      <c r="GSM8" s="216"/>
      <c r="GSN8" s="216"/>
      <c r="GSO8" s="216"/>
      <c r="GSP8" s="216"/>
      <c r="GSQ8" s="216"/>
      <c r="GSR8" s="216"/>
      <c r="GSS8" s="216"/>
      <c r="GST8" s="216"/>
      <c r="GSU8" s="216"/>
      <c r="GSV8" s="216"/>
      <c r="GSW8" s="216"/>
      <c r="GSX8" s="216"/>
      <c r="GSY8" s="216"/>
      <c r="GSZ8" s="216"/>
      <c r="GTA8" s="216"/>
      <c r="GTB8" s="216"/>
      <c r="GTC8" s="216"/>
      <c r="GTD8" s="216"/>
      <c r="GTE8" s="216"/>
      <c r="GTF8" s="216"/>
      <c r="GTG8" s="216"/>
      <c r="GTH8" s="216"/>
      <c r="GTI8" s="216"/>
      <c r="GTJ8" s="216"/>
      <c r="GTK8" s="216"/>
      <c r="GTL8" s="216"/>
      <c r="GTM8" s="216"/>
      <c r="GTN8" s="216"/>
      <c r="GTO8" s="216"/>
      <c r="GTP8" s="216"/>
      <c r="GTQ8" s="216"/>
      <c r="GTR8" s="216"/>
      <c r="GTS8" s="216"/>
      <c r="GTT8" s="216"/>
      <c r="GTU8" s="216"/>
      <c r="GTV8" s="216"/>
      <c r="GTW8" s="216"/>
      <c r="GTX8" s="216"/>
      <c r="GTY8" s="216"/>
      <c r="GTZ8" s="216"/>
      <c r="GUA8" s="216"/>
      <c r="GUB8" s="216"/>
      <c r="GUC8" s="216"/>
      <c r="GUD8" s="216"/>
      <c r="GUE8" s="216"/>
      <c r="GUF8" s="216"/>
      <c r="GUG8" s="216"/>
      <c r="GUH8" s="216"/>
      <c r="GUI8" s="216"/>
      <c r="GUJ8" s="216"/>
      <c r="GUK8" s="216"/>
      <c r="GUL8" s="216"/>
      <c r="GUM8" s="216"/>
      <c r="GUN8" s="216"/>
      <c r="GUO8" s="216"/>
      <c r="GUP8" s="216"/>
      <c r="GUQ8" s="216"/>
      <c r="GUR8" s="216"/>
      <c r="GUS8" s="216"/>
      <c r="GUT8" s="216"/>
      <c r="GUU8" s="216"/>
      <c r="GUV8" s="216"/>
      <c r="GUW8" s="216"/>
      <c r="GUX8" s="216"/>
      <c r="GUY8" s="216"/>
      <c r="GUZ8" s="216"/>
      <c r="GVA8" s="216"/>
      <c r="GVB8" s="216"/>
      <c r="GVC8" s="216"/>
      <c r="GVD8" s="216"/>
      <c r="GVE8" s="216"/>
      <c r="GVF8" s="216"/>
      <c r="GVG8" s="216"/>
      <c r="GVH8" s="216"/>
      <c r="GVI8" s="216"/>
      <c r="GVJ8" s="216"/>
      <c r="GVK8" s="216"/>
      <c r="GVL8" s="216"/>
      <c r="GVM8" s="216"/>
      <c r="GVN8" s="216"/>
      <c r="GVO8" s="216"/>
      <c r="GVP8" s="216"/>
      <c r="GVQ8" s="216"/>
      <c r="GVR8" s="216"/>
      <c r="GVS8" s="216"/>
      <c r="GVT8" s="216"/>
      <c r="GVU8" s="216"/>
      <c r="GVV8" s="216"/>
      <c r="GVW8" s="216"/>
      <c r="GVX8" s="216"/>
      <c r="GVY8" s="216"/>
      <c r="GVZ8" s="216"/>
      <c r="GWA8" s="216"/>
      <c r="GWB8" s="216"/>
      <c r="GWC8" s="216"/>
      <c r="GWD8" s="216"/>
      <c r="GWE8" s="216"/>
      <c r="GWF8" s="216"/>
      <c r="GWG8" s="216"/>
      <c r="GWH8" s="216"/>
      <c r="GWI8" s="216"/>
      <c r="GWJ8" s="216"/>
      <c r="GWK8" s="216"/>
      <c r="GWL8" s="216"/>
      <c r="GWM8" s="216"/>
      <c r="GWN8" s="216"/>
      <c r="GWO8" s="216"/>
      <c r="GWP8" s="216"/>
      <c r="GWQ8" s="216"/>
      <c r="GWR8" s="216"/>
      <c r="GWS8" s="216"/>
      <c r="GWT8" s="216"/>
      <c r="GWU8" s="216"/>
      <c r="GWV8" s="216"/>
      <c r="GWW8" s="216"/>
      <c r="GWX8" s="216"/>
      <c r="GWY8" s="216"/>
      <c r="GWZ8" s="216"/>
      <c r="GXA8" s="216"/>
      <c r="GXB8" s="216"/>
      <c r="GXC8" s="216"/>
      <c r="GXD8" s="216"/>
      <c r="GXE8" s="216"/>
      <c r="GXF8" s="216"/>
      <c r="GXG8" s="216"/>
      <c r="GXH8" s="216"/>
      <c r="GXI8" s="216"/>
      <c r="GXJ8" s="216"/>
      <c r="GXK8" s="216"/>
      <c r="GXL8" s="216"/>
      <c r="GXM8" s="216"/>
      <c r="GXN8" s="216"/>
      <c r="GXO8" s="216"/>
      <c r="GXP8" s="216"/>
      <c r="GXQ8" s="216"/>
      <c r="GXR8" s="216"/>
      <c r="GXS8" s="216"/>
      <c r="GXT8" s="216"/>
      <c r="GXU8" s="216"/>
      <c r="GXV8" s="216"/>
      <c r="GXW8" s="216"/>
      <c r="GXX8" s="216"/>
      <c r="GXY8" s="216"/>
      <c r="GXZ8" s="216"/>
      <c r="GYA8" s="216"/>
      <c r="GYB8" s="216"/>
      <c r="GYC8" s="216"/>
      <c r="GYD8" s="216"/>
      <c r="GYE8" s="216"/>
      <c r="GYF8" s="216"/>
      <c r="GYG8" s="216"/>
      <c r="GYH8" s="216"/>
      <c r="GYI8" s="216"/>
      <c r="GYJ8" s="216"/>
      <c r="GYK8" s="216"/>
      <c r="GYL8" s="216"/>
      <c r="GYM8" s="216"/>
      <c r="GYN8" s="216"/>
      <c r="GYO8" s="216"/>
      <c r="GYP8" s="216"/>
      <c r="GYQ8" s="216"/>
      <c r="GYR8" s="216"/>
      <c r="GYS8" s="216"/>
      <c r="GYT8" s="216"/>
      <c r="GYU8" s="216"/>
      <c r="GYV8" s="216"/>
      <c r="GYW8" s="216"/>
      <c r="GYX8" s="216"/>
      <c r="GYY8" s="216"/>
      <c r="GYZ8" s="216"/>
      <c r="GZA8" s="216"/>
      <c r="GZB8" s="216"/>
      <c r="GZC8" s="216"/>
      <c r="GZD8" s="216"/>
      <c r="GZE8" s="216"/>
      <c r="GZF8" s="216"/>
      <c r="GZG8" s="216"/>
      <c r="GZH8" s="216"/>
      <c r="GZI8" s="216"/>
      <c r="GZJ8" s="216"/>
      <c r="GZK8" s="216"/>
      <c r="GZL8" s="216"/>
      <c r="GZM8" s="216"/>
      <c r="GZN8" s="216"/>
      <c r="GZO8" s="216"/>
      <c r="GZP8" s="216"/>
      <c r="GZQ8" s="216"/>
      <c r="GZR8" s="216"/>
      <c r="GZS8" s="216"/>
      <c r="GZT8" s="216"/>
      <c r="GZU8" s="216"/>
      <c r="GZV8" s="216"/>
      <c r="GZW8" s="216"/>
      <c r="GZX8" s="216"/>
      <c r="GZY8" s="216"/>
      <c r="GZZ8" s="216"/>
      <c r="HAA8" s="216"/>
      <c r="HAB8" s="216"/>
      <c r="HAC8" s="216"/>
      <c r="HAD8" s="216"/>
      <c r="HAE8" s="216"/>
      <c r="HAF8" s="216"/>
      <c r="HAG8" s="216"/>
      <c r="HAH8" s="216"/>
      <c r="HAI8" s="216"/>
      <c r="HAJ8" s="216"/>
      <c r="HAK8" s="216"/>
      <c r="HAL8" s="216"/>
      <c r="HAM8" s="216"/>
      <c r="HAN8" s="216"/>
      <c r="HAO8" s="216"/>
      <c r="HAP8" s="216"/>
      <c r="HAQ8" s="216"/>
      <c r="HAR8" s="216"/>
      <c r="HAS8" s="216"/>
      <c r="HAT8" s="216"/>
      <c r="HAU8" s="216"/>
      <c r="HAV8" s="216"/>
      <c r="HAW8" s="216"/>
      <c r="HAX8" s="216"/>
      <c r="HAY8" s="216"/>
      <c r="HAZ8" s="216"/>
      <c r="HBA8" s="216"/>
      <c r="HBB8" s="216"/>
      <c r="HBC8" s="216"/>
      <c r="HBD8" s="216"/>
      <c r="HBE8" s="216"/>
      <c r="HBF8" s="216"/>
      <c r="HBG8" s="216"/>
      <c r="HBH8" s="216"/>
      <c r="HBI8" s="216"/>
      <c r="HBJ8" s="216"/>
      <c r="HBK8" s="216"/>
      <c r="HBL8" s="216"/>
      <c r="HBM8" s="216"/>
      <c r="HBN8" s="216"/>
      <c r="HBO8" s="216"/>
      <c r="HBP8" s="216"/>
      <c r="HBQ8" s="216"/>
      <c r="HBR8" s="216"/>
      <c r="HBS8" s="216"/>
      <c r="HBT8" s="216"/>
      <c r="HBU8" s="216"/>
      <c r="HBV8" s="216"/>
      <c r="HBW8" s="216"/>
      <c r="HBX8" s="216"/>
      <c r="HBY8" s="216"/>
      <c r="HBZ8" s="216"/>
      <c r="HCA8" s="216"/>
      <c r="HCB8" s="216"/>
      <c r="HCC8" s="216"/>
      <c r="HCD8" s="216"/>
      <c r="HCE8" s="216"/>
      <c r="HCF8" s="216"/>
      <c r="HCG8" s="216"/>
      <c r="HCH8" s="216"/>
      <c r="HCI8" s="216"/>
      <c r="HCJ8" s="216"/>
      <c r="HCK8" s="216"/>
      <c r="HCL8" s="216"/>
      <c r="HCM8" s="216"/>
      <c r="HCN8" s="216"/>
      <c r="HCO8" s="216"/>
      <c r="HCP8" s="216"/>
      <c r="HCQ8" s="216"/>
      <c r="HCR8" s="216"/>
      <c r="HCS8" s="216"/>
      <c r="HCT8" s="216"/>
      <c r="HCU8" s="216"/>
      <c r="HCV8" s="216"/>
      <c r="HCW8" s="216"/>
      <c r="HCX8" s="216"/>
      <c r="HCY8" s="216"/>
      <c r="HCZ8" s="216"/>
      <c r="HDA8" s="216"/>
      <c r="HDB8" s="216"/>
      <c r="HDC8" s="216"/>
      <c r="HDD8" s="216"/>
      <c r="HDE8" s="216"/>
      <c r="HDF8" s="216"/>
      <c r="HDG8" s="216"/>
      <c r="HDH8" s="216"/>
      <c r="HDI8" s="216"/>
      <c r="HDJ8" s="216"/>
      <c r="HDK8" s="216"/>
      <c r="HDL8" s="216"/>
      <c r="HDM8" s="216"/>
      <c r="HDN8" s="216"/>
      <c r="HDO8" s="216"/>
      <c r="HDP8" s="216"/>
      <c r="HDQ8" s="216"/>
      <c r="HDR8" s="216"/>
      <c r="HDS8" s="216"/>
      <c r="HDT8" s="216"/>
      <c r="HDU8" s="216"/>
      <c r="HDV8" s="216"/>
      <c r="HDW8" s="216"/>
      <c r="HDX8" s="216"/>
      <c r="HDY8" s="216"/>
      <c r="HDZ8" s="216"/>
      <c r="HEA8" s="216"/>
      <c r="HEB8" s="216"/>
      <c r="HEC8" s="216"/>
      <c r="HED8" s="216"/>
      <c r="HEE8" s="216"/>
      <c r="HEF8" s="216"/>
      <c r="HEG8" s="216"/>
      <c r="HEH8" s="216"/>
      <c r="HEI8" s="216"/>
      <c r="HEJ8" s="216"/>
      <c r="HEK8" s="216"/>
      <c r="HEL8" s="216"/>
      <c r="HEM8" s="216"/>
      <c r="HEN8" s="216"/>
      <c r="HEO8" s="216"/>
      <c r="HEP8" s="216"/>
      <c r="HEQ8" s="216"/>
      <c r="HER8" s="216"/>
      <c r="HES8" s="216"/>
      <c r="HET8" s="216"/>
      <c r="HEU8" s="216"/>
      <c r="HEV8" s="216"/>
      <c r="HEW8" s="216"/>
      <c r="HEX8" s="216"/>
      <c r="HEY8" s="216"/>
      <c r="HEZ8" s="216"/>
      <c r="HFA8" s="216"/>
      <c r="HFB8" s="216"/>
      <c r="HFC8" s="216"/>
      <c r="HFD8" s="216"/>
      <c r="HFE8" s="216"/>
      <c r="HFF8" s="216"/>
      <c r="HFG8" s="216"/>
      <c r="HFH8" s="216"/>
      <c r="HFI8" s="216"/>
      <c r="HFJ8" s="216"/>
      <c r="HFK8" s="216"/>
      <c r="HFL8" s="216"/>
      <c r="HFM8" s="216"/>
      <c r="HFN8" s="216"/>
      <c r="HFO8" s="216"/>
      <c r="HFP8" s="216"/>
      <c r="HFQ8" s="216"/>
      <c r="HFR8" s="216"/>
      <c r="HFS8" s="216"/>
      <c r="HFT8" s="216"/>
      <c r="HFU8" s="216"/>
      <c r="HFV8" s="216"/>
      <c r="HFW8" s="216"/>
      <c r="HFX8" s="216"/>
      <c r="HFY8" s="216"/>
      <c r="HFZ8" s="216"/>
      <c r="HGA8" s="216"/>
      <c r="HGB8" s="216"/>
      <c r="HGC8" s="216"/>
      <c r="HGD8" s="216"/>
      <c r="HGE8" s="216"/>
      <c r="HGF8" s="216"/>
      <c r="HGG8" s="216"/>
      <c r="HGH8" s="216"/>
      <c r="HGI8" s="216"/>
      <c r="HGJ8" s="216"/>
      <c r="HGK8" s="216"/>
      <c r="HGL8" s="216"/>
      <c r="HGM8" s="216"/>
      <c r="HGN8" s="216"/>
      <c r="HGO8" s="216"/>
      <c r="HGP8" s="216"/>
      <c r="HGQ8" s="216"/>
      <c r="HGR8" s="216"/>
      <c r="HGS8" s="216"/>
      <c r="HGT8" s="216"/>
      <c r="HGU8" s="216"/>
      <c r="HGV8" s="216"/>
      <c r="HGW8" s="216"/>
      <c r="HGX8" s="216"/>
      <c r="HGY8" s="216"/>
      <c r="HGZ8" s="216"/>
      <c r="HHA8" s="216"/>
      <c r="HHB8" s="216"/>
      <c r="HHC8" s="216"/>
      <c r="HHD8" s="216"/>
      <c r="HHE8" s="216"/>
      <c r="HHF8" s="216"/>
      <c r="HHG8" s="216"/>
      <c r="HHH8" s="216"/>
      <c r="HHI8" s="216"/>
      <c r="HHJ8" s="216"/>
      <c r="HHK8" s="216"/>
      <c r="HHL8" s="216"/>
      <c r="HHM8" s="216"/>
      <c r="HHN8" s="216"/>
      <c r="HHO8" s="216"/>
      <c r="HHP8" s="216"/>
      <c r="HHQ8" s="216"/>
      <c r="HHR8" s="216"/>
      <c r="HHS8" s="216"/>
      <c r="HHT8" s="216"/>
      <c r="HHU8" s="216"/>
      <c r="HHV8" s="216"/>
      <c r="HHW8" s="216"/>
      <c r="HHX8" s="216"/>
      <c r="HHY8" s="216"/>
      <c r="HHZ8" s="216"/>
      <c r="HIA8" s="216"/>
      <c r="HIB8" s="216"/>
      <c r="HIC8" s="216"/>
      <c r="HID8" s="216"/>
      <c r="HIE8" s="216"/>
      <c r="HIF8" s="216"/>
      <c r="HIG8" s="216"/>
      <c r="HIH8" s="216"/>
      <c r="HII8" s="216"/>
      <c r="HIJ8" s="216"/>
      <c r="HIK8" s="216"/>
      <c r="HIL8" s="216"/>
      <c r="HIM8" s="216"/>
      <c r="HIN8" s="216"/>
      <c r="HIO8" s="216"/>
      <c r="HIP8" s="216"/>
      <c r="HIQ8" s="216"/>
      <c r="HIR8" s="216"/>
      <c r="HIS8" s="216"/>
      <c r="HIT8" s="216"/>
      <c r="HIU8" s="216"/>
      <c r="HIV8" s="216"/>
      <c r="HIW8" s="216"/>
      <c r="HIX8" s="216"/>
      <c r="HIY8" s="216"/>
      <c r="HIZ8" s="216"/>
      <c r="HJA8" s="216"/>
      <c r="HJB8" s="216"/>
      <c r="HJC8" s="216"/>
      <c r="HJD8" s="216"/>
      <c r="HJE8" s="216"/>
      <c r="HJF8" s="216"/>
      <c r="HJG8" s="216"/>
      <c r="HJH8" s="216"/>
      <c r="HJI8" s="216"/>
      <c r="HJJ8" s="216"/>
      <c r="HJK8" s="216"/>
      <c r="HJL8" s="216"/>
      <c r="HJM8" s="216"/>
      <c r="HJN8" s="216"/>
      <c r="HJO8" s="216"/>
      <c r="HJP8" s="216"/>
      <c r="HJQ8" s="216"/>
      <c r="HJR8" s="216"/>
      <c r="HJS8" s="216"/>
      <c r="HJT8" s="216"/>
      <c r="HJU8" s="216"/>
      <c r="HJV8" s="216"/>
      <c r="HJW8" s="216"/>
      <c r="HJX8" s="216"/>
      <c r="HJY8" s="216"/>
      <c r="HJZ8" s="216"/>
      <c r="HKA8" s="216"/>
      <c r="HKB8" s="216"/>
      <c r="HKC8" s="216"/>
      <c r="HKD8" s="216"/>
      <c r="HKE8" s="216"/>
      <c r="HKF8" s="216"/>
      <c r="HKG8" s="216"/>
      <c r="HKH8" s="216"/>
      <c r="HKI8" s="216"/>
      <c r="HKJ8" s="216"/>
      <c r="HKK8" s="216"/>
      <c r="HKL8" s="216"/>
      <c r="HKM8" s="216"/>
      <c r="HKN8" s="216"/>
      <c r="HKO8" s="216"/>
      <c r="HKP8" s="216"/>
      <c r="HKQ8" s="216"/>
      <c r="HKR8" s="216"/>
      <c r="HKS8" s="216"/>
      <c r="HKT8" s="216"/>
      <c r="HKU8" s="216"/>
      <c r="HKV8" s="216"/>
      <c r="HKW8" s="216"/>
      <c r="HKX8" s="216"/>
      <c r="HKY8" s="216"/>
      <c r="HKZ8" s="216"/>
      <c r="HLA8" s="216"/>
      <c r="HLB8" s="216"/>
      <c r="HLC8" s="216"/>
      <c r="HLD8" s="216"/>
      <c r="HLE8" s="216"/>
      <c r="HLF8" s="216"/>
      <c r="HLG8" s="216"/>
      <c r="HLH8" s="216"/>
      <c r="HLI8" s="216"/>
      <c r="HLJ8" s="216"/>
      <c r="HLK8" s="216"/>
      <c r="HLL8" s="216"/>
      <c r="HLM8" s="216"/>
      <c r="HLN8" s="216"/>
      <c r="HLO8" s="216"/>
      <c r="HLP8" s="216"/>
      <c r="HLQ8" s="216"/>
      <c r="HLR8" s="216"/>
      <c r="HLS8" s="216"/>
      <c r="HLT8" s="216"/>
      <c r="HLU8" s="216"/>
      <c r="HLV8" s="216"/>
      <c r="HLW8" s="216"/>
      <c r="HLX8" s="216"/>
      <c r="HLY8" s="216"/>
      <c r="HLZ8" s="216"/>
      <c r="HMA8" s="216"/>
      <c r="HMB8" s="216"/>
      <c r="HMC8" s="216"/>
      <c r="HMD8" s="216"/>
      <c r="HME8" s="216"/>
      <c r="HMF8" s="216"/>
      <c r="HMG8" s="216"/>
      <c r="HMH8" s="216"/>
      <c r="HMI8" s="216"/>
      <c r="HMJ8" s="216"/>
      <c r="HMK8" s="216"/>
      <c r="HML8" s="216"/>
      <c r="HMM8" s="216"/>
      <c r="HMN8" s="216"/>
      <c r="HMO8" s="216"/>
      <c r="HMP8" s="216"/>
      <c r="HMQ8" s="216"/>
      <c r="HMR8" s="216"/>
      <c r="HMS8" s="216"/>
      <c r="HMT8" s="216"/>
      <c r="HMU8" s="216"/>
      <c r="HMV8" s="216"/>
      <c r="HMW8" s="216"/>
      <c r="HMX8" s="216"/>
      <c r="HMY8" s="216"/>
      <c r="HMZ8" s="216"/>
      <c r="HNA8" s="216"/>
      <c r="HNB8" s="216"/>
      <c r="HNC8" s="216"/>
      <c r="HND8" s="216"/>
      <c r="HNE8" s="216"/>
      <c r="HNF8" s="216"/>
      <c r="HNG8" s="216"/>
      <c r="HNH8" s="216"/>
      <c r="HNI8" s="216"/>
      <c r="HNJ8" s="216"/>
      <c r="HNK8" s="216"/>
      <c r="HNL8" s="216"/>
      <c r="HNM8" s="216"/>
      <c r="HNN8" s="216"/>
      <c r="HNO8" s="216"/>
      <c r="HNP8" s="216"/>
      <c r="HNQ8" s="216"/>
      <c r="HNR8" s="216"/>
      <c r="HNS8" s="216"/>
      <c r="HNT8" s="216"/>
      <c r="HNU8" s="216"/>
      <c r="HNV8" s="216"/>
      <c r="HNW8" s="216"/>
      <c r="HNX8" s="216"/>
      <c r="HNY8" s="216"/>
      <c r="HNZ8" s="216"/>
      <c r="HOA8" s="216"/>
      <c r="HOB8" s="216"/>
      <c r="HOC8" s="216"/>
      <c r="HOD8" s="216"/>
      <c r="HOE8" s="216"/>
      <c r="HOF8" s="216"/>
      <c r="HOG8" s="216"/>
      <c r="HOH8" s="216"/>
      <c r="HOI8" s="216"/>
      <c r="HOJ8" s="216"/>
      <c r="HOK8" s="216"/>
      <c r="HOL8" s="216"/>
      <c r="HOM8" s="216"/>
      <c r="HON8" s="216"/>
      <c r="HOO8" s="216"/>
      <c r="HOP8" s="216"/>
      <c r="HOQ8" s="216"/>
      <c r="HOR8" s="216"/>
      <c r="HOS8" s="216"/>
      <c r="HOT8" s="216"/>
      <c r="HOU8" s="216"/>
      <c r="HOV8" s="216"/>
      <c r="HOW8" s="216"/>
      <c r="HOX8" s="216"/>
      <c r="HOY8" s="216"/>
      <c r="HOZ8" s="216"/>
      <c r="HPA8" s="216"/>
      <c r="HPB8" s="216"/>
      <c r="HPC8" s="216"/>
      <c r="HPD8" s="216"/>
      <c r="HPE8" s="216"/>
      <c r="HPF8" s="216"/>
      <c r="HPG8" s="216"/>
      <c r="HPH8" s="216"/>
      <c r="HPI8" s="216"/>
      <c r="HPJ8" s="216"/>
      <c r="HPK8" s="216"/>
      <c r="HPL8" s="216"/>
      <c r="HPM8" s="216"/>
      <c r="HPN8" s="216"/>
      <c r="HPO8" s="216"/>
      <c r="HPP8" s="216"/>
      <c r="HPQ8" s="216"/>
      <c r="HPR8" s="216"/>
      <c r="HPS8" s="216"/>
      <c r="HPT8" s="216"/>
      <c r="HPU8" s="216"/>
      <c r="HPV8" s="216"/>
      <c r="HPW8" s="216"/>
      <c r="HPX8" s="216"/>
      <c r="HPY8" s="216"/>
      <c r="HPZ8" s="216"/>
      <c r="HQA8" s="216"/>
      <c r="HQB8" s="216"/>
      <c r="HQC8" s="216"/>
      <c r="HQD8" s="216"/>
      <c r="HQE8" s="216"/>
      <c r="HQF8" s="216"/>
      <c r="HQG8" s="216"/>
      <c r="HQH8" s="216"/>
      <c r="HQI8" s="216"/>
      <c r="HQJ8" s="216"/>
      <c r="HQK8" s="216"/>
      <c r="HQL8" s="216"/>
      <c r="HQM8" s="216"/>
      <c r="HQN8" s="216"/>
      <c r="HQO8" s="216"/>
      <c r="HQP8" s="216"/>
      <c r="HQQ8" s="216"/>
      <c r="HQR8" s="216"/>
      <c r="HQS8" s="216"/>
      <c r="HQT8" s="216"/>
      <c r="HQU8" s="216"/>
      <c r="HQV8" s="216"/>
      <c r="HQW8" s="216"/>
      <c r="HQX8" s="216"/>
      <c r="HQY8" s="216"/>
      <c r="HQZ8" s="216"/>
      <c r="HRA8" s="216"/>
      <c r="HRB8" s="216"/>
      <c r="HRC8" s="216"/>
      <c r="HRD8" s="216"/>
      <c r="HRE8" s="216"/>
      <c r="HRF8" s="216"/>
      <c r="HRG8" s="216"/>
      <c r="HRH8" s="216"/>
      <c r="HRI8" s="216"/>
      <c r="HRJ8" s="216"/>
      <c r="HRK8" s="216"/>
      <c r="HRL8" s="216"/>
      <c r="HRM8" s="216"/>
      <c r="HRN8" s="216"/>
      <c r="HRO8" s="216"/>
      <c r="HRP8" s="216"/>
      <c r="HRQ8" s="216"/>
      <c r="HRR8" s="216"/>
      <c r="HRS8" s="216"/>
      <c r="HRT8" s="216"/>
      <c r="HRU8" s="216"/>
      <c r="HRV8" s="216"/>
      <c r="HRW8" s="216"/>
      <c r="HRX8" s="216"/>
      <c r="HRY8" s="216"/>
      <c r="HRZ8" s="216"/>
      <c r="HSA8" s="216"/>
      <c r="HSB8" s="216"/>
      <c r="HSC8" s="216"/>
      <c r="HSD8" s="216"/>
      <c r="HSE8" s="216"/>
      <c r="HSF8" s="216"/>
      <c r="HSG8" s="216"/>
      <c r="HSH8" s="216"/>
      <c r="HSI8" s="216"/>
      <c r="HSJ8" s="216"/>
      <c r="HSK8" s="216"/>
      <c r="HSL8" s="216"/>
      <c r="HSM8" s="216"/>
      <c r="HSN8" s="216"/>
      <c r="HSO8" s="216"/>
      <c r="HSP8" s="216"/>
      <c r="HSQ8" s="216"/>
      <c r="HSR8" s="216"/>
      <c r="HSS8" s="216"/>
      <c r="HST8" s="216"/>
      <c r="HSU8" s="216"/>
      <c r="HSV8" s="216"/>
      <c r="HSW8" s="216"/>
      <c r="HSX8" s="216"/>
      <c r="HSY8" s="216"/>
      <c r="HSZ8" s="216"/>
      <c r="HTA8" s="216"/>
      <c r="HTB8" s="216"/>
      <c r="HTC8" s="216"/>
      <c r="HTD8" s="216"/>
      <c r="HTE8" s="216"/>
      <c r="HTF8" s="216"/>
      <c r="HTG8" s="216"/>
      <c r="HTH8" s="216"/>
      <c r="HTI8" s="216"/>
      <c r="HTJ8" s="216"/>
      <c r="HTK8" s="216"/>
      <c r="HTL8" s="216"/>
      <c r="HTM8" s="216"/>
      <c r="HTN8" s="216"/>
      <c r="HTO8" s="216"/>
      <c r="HTP8" s="216"/>
      <c r="HTQ8" s="216"/>
      <c r="HTR8" s="216"/>
      <c r="HTS8" s="216"/>
      <c r="HTT8" s="216"/>
      <c r="HTU8" s="216"/>
      <c r="HTV8" s="216"/>
      <c r="HTW8" s="216"/>
      <c r="HTX8" s="216"/>
      <c r="HTY8" s="216"/>
      <c r="HTZ8" s="216"/>
      <c r="HUA8" s="216"/>
      <c r="HUB8" s="216"/>
      <c r="HUC8" s="216"/>
      <c r="HUD8" s="216"/>
      <c r="HUE8" s="216"/>
      <c r="HUF8" s="216"/>
      <c r="HUG8" s="216"/>
      <c r="HUH8" s="216"/>
      <c r="HUI8" s="216"/>
      <c r="HUJ8" s="216"/>
      <c r="HUK8" s="216"/>
      <c r="HUL8" s="216"/>
      <c r="HUM8" s="216"/>
      <c r="HUN8" s="216"/>
      <c r="HUO8" s="216"/>
      <c r="HUP8" s="216"/>
      <c r="HUQ8" s="216"/>
      <c r="HUR8" s="216"/>
      <c r="HUS8" s="216"/>
      <c r="HUT8" s="216"/>
      <c r="HUU8" s="216"/>
      <c r="HUV8" s="216"/>
      <c r="HUW8" s="216"/>
      <c r="HUX8" s="216"/>
      <c r="HUY8" s="216"/>
      <c r="HUZ8" s="216"/>
      <c r="HVA8" s="216"/>
      <c r="HVB8" s="216"/>
      <c r="HVC8" s="216"/>
      <c r="HVD8" s="216"/>
      <c r="HVE8" s="216"/>
      <c r="HVF8" s="216"/>
      <c r="HVG8" s="216"/>
      <c r="HVH8" s="216"/>
      <c r="HVI8" s="216"/>
      <c r="HVJ8" s="216"/>
      <c r="HVK8" s="216"/>
      <c r="HVL8" s="216"/>
      <c r="HVM8" s="216"/>
      <c r="HVN8" s="216"/>
      <c r="HVO8" s="216"/>
      <c r="HVP8" s="216"/>
      <c r="HVQ8" s="216"/>
      <c r="HVR8" s="216"/>
      <c r="HVS8" s="216"/>
      <c r="HVT8" s="216"/>
      <c r="HVU8" s="216"/>
      <c r="HVV8" s="216"/>
      <c r="HVW8" s="216"/>
      <c r="HVX8" s="216"/>
      <c r="HVY8" s="216"/>
      <c r="HVZ8" s="216"/>
      <c r="HWA8" s="216"/>
      <c r="HWB8" s="216"/>
      <c r="HWC8" s="216"/>
      <c r="HWD8" s="216"/>
      <c r="HWE8" s="216"/>
      <c r="HWF8" s="216"/>
      <c r="HWG8" s="216"/>
      <c r="HWH8" s="216"/>
      <c r="HWI8" s="216"/>
      <c r="HWJ8" s="216"/>
      <c r="HWK8" s="216"/>
      <c r="HWL8" s="216"/>
      <c r="HWM8" s="216"/>
      <c r="HWN8" s="216"/>
      <c r="HWO8" s="216"/>
      <c r="HWP8" s="216"/>
      <c r="HWQ8" s="216"/>
      <c r="HWR8" s="216"/>
      <c r="HWS8" s="216"/>
      <c r="HWT8" s="216"/>
      <c r="HWU8" s="216"/>
      <c r="HWV8" s="216"/>
      <c r="HWW8" s="216"/>
      <c r="HWX8" s="216"/>
      <c r="HWY8" s="216"/>
      <c r="HWZ8" s="216"/>
      <c r="HXA8" s="216"/>
      <c r="HXB8" s="216"/>
      <c r="HXC8" s="216"/>
      <c r="HXD8" s="216"/>
      <c r="HXE8" s="216"/>
      <c r="HXF8" s="216"/>
      <c r="HXG8" s="216"/>
      <c r="HXH8" s="216"/>
      <c r="HXI8" s="216"/>
      <c r="HXJ8" s="216"/>
      <c r="HXK8" s="216"/>
      <c r="HXL8" s="216"/>
      <c r="HXM8" s="216"/>
      <c r="HXN8" s="216"/>
      <c r="HXO8" s="216"/>
      <c r="HXP8" s="216"/>
      <c r="HXQ8" s="216"/>
      <c r="HXR8" s="216"/>
      <c r="HXS8" s="216"/>
      <c r="HXT8" s="216"/>
      <c r="HXU8" s="216"/>
      <c r="HXV8" s="216"/>
      <c r="HXW8" s="216"/>
      <c r="HXX8" s="216"/>
      <c r="HXY8" s="216"/>
      <c r="HXZ8" s="216"/>
      <c r="HYA8" s="216"/>
      <c r="HYB8" s="216"/>
      <c r="HYC8" s="216"/>
      <c r="HYD8" s="216"/>
      <c r="HYE8" s="216"/>
      <c r="HYF8" s="216"/>
      <c r="HYG8" s="216"/>
      <c r="HYH8" s="216"/>
      <c r="HYI8" s="216"/>
      <c r="HYJ8" s="216"/>
      <c r="HYK8" s="216"/>
      <c r="HYL8" s="216"/>
      <c r="HYM8" s="216"/>
      <c r="HYN8" s="216"/>
      <c r="HYO8" s="216"/>
      <c r="HYP8" s="216"/>
      <c r="HYQ8" s="216"/>
      <c r="HYR8" s="216"/>
      <c r="HYS8" s="216"/>
      <c r="HYT8" s="216"/>
      <c r="HYU8" s="216"/>
      <c r="HYV8" s="216"/>
      <c r="HYW8" s="216"/>
      <c r="HYX8" s="216"/>
      <c r="HYY8" s="216"/>
      <c r="HYZ8" s="216"/>
      <c r="HZA8" s="216"/>
      <c r="HZB8" s="216"/>
      <c r="HZC8" s="216"/>
      <c r="HZD8" s="216"/>
      <c r="HZE8" s="216"/>
      <c r="HZF8" s="216"/>
      <c r="HZG8" s="216"/>
      <c r="HZH8" s="216"/>
      <c r="HZI8" s="216"/>
      <c r="HZJ8" s="216"/>
      <c r="HZK8" s="216"/>
      <c r="HZL8" s="216"/>
      <c r="HZM8" s="216"/>
      <c r="HZN8" s="216"/>
      <c r="HZO8" s="216"/>
      <c r="HZP8" s="216"/>
      <c r="HZQ8" s="216"/>
      <c r="HZR8" s="216"/>
      <c r="HZS8" s="216"/>
      <c r="HZT8" s="216"/>
      <c r="HZU8" s="216"/>
      <c r="HZV8" s="216"/>
      <c r="HZW8" s="216"/>
      <c r="HZX8" s="216"/>
      <c r="HZY8" s="216"/>
      <c r="HZZ8" s="216"/>
      <c r="IAA8" s="216"/>
      <c r="IAB8" s="216"/>
      <c r="IAC8" s="216"/>
      <c r="IAD8" s="216"/>
      <c r="IAE8" s="216"/>
      <c r="IAF8" s="216"/>
      <c r="IAG8" s="216"/>
      <c r="IAH8" s="216"/>
      <c r="IAI8" s="216"/>
      <c r="IAJ8" s="216"/>
      <c r="IAK8" s="216"/>
      <c r="IAL8" s="216"/>
      <c r="IAM8" s="216"/>
      <c r="IAN8" s="216"/>
      <c r="IAO8" s="216"/>
      <c r="IAP8" s="216"/>
      <c r="IAQ8" s="216"/>
      <c r="IAR8" s="216"/>
      <c r="IAS8" s="216"/>
      <c r="IAT8" s="216"/>
      <c r="IAU8" s="216"/>
      <c r="IAV8" s="216"/>
      <c r="IAW8" s="216"/>
      <c r="IAX8" s="216"/>
      <c r="IAY8" s="216"/>
      <c r="IAZ8" s="216"/>
      <c r="IBA8" s="216"/>
      <c r="IBB8" s="216"/>
      <c r="IBC8" s="216"/>
      <c r="IBD8" s="216"/>
      <c r="IBE8" s="216"/>
      <c r="IBF8" s="216"/>
      <c r="IBG8" s="216"/>
      <c r="IBH8" s="216"/>
      <c r="IBI8" s="216"/>
      <c r="IBJ8" s="216"/>
      <c r="IBK8" s="216"/>
      <c r="IBL8" s="216"/>
      <c r="IBM8" s="216"/>
      <c r="IBN8" s="216"/>
      <c r="IBO8" s="216"/>
      <c r="IBP8" s="216"/>
      <c r="IBQ8" s="216"/>
      <c r="IBR8" s="216"/>
      <c r="IBS8" s="216"/>
      <c r="IBT8" s="216"/>
      <c r="IBU8" s="216"/>
      <c r="IBV8" s="216"/>
      <c r="IBW8" s="216"/>
      <c r="IBX8" s="216"/>
      <c r="IBY8" s="216"/>
      <c r="IBZ8" s="216"/>
      <c r="ICA8" s="216"/>
      <c r="ICB8" s="216"/>
      <c r="ICC8" s="216"/>
      <c r="ICD8" s="216"/>
      <c r="ICE8" s="216"/>
      <c r="ICF8" s="216"/>
      <c r="ICG8" s="216"/>
      <c r="ICH8" s="216"/>
      <c r="ICI8" s="216"/>
      <c r="ICJ8" s="216"/>
      <c r="ICK8" s="216"/>
      <c r="ICL8" s="216"/>
      <c r="ICM8" s="216"/>
      <c r="ICN8" s="216"/>
      <c r="ICO8" s="216"/>
      <c r="ICP8" s="216"/>
      <c r="ICQ8" s="216"/>
      <c r="ICR8" s="216"/>
      <c r="ICS8" s="216"/>
      <c r="ICT8" s="216"/>
      <c r="ICU8" s="216"/>
      <c r="ICV8" s="216"/>
      <c r="ICW8" s="216"/>
      <c r="ICX8" s="216"/>
      <c r="ICY8" s="216"/>
      <c r="ICZ8" s="216"/>
      <c r="IDA8" s="216"/>
      <c r="IDB8" s="216"/>
      <c r="IDC8" s="216"/>
      <c r="IDD8" s="216"/>
      <c r="IDE8" s="216"/>
      <c r="IDF8" s="216"/>
      <c r="IDG8" s="216"/>
      <c r="IDH8" s="216"/>
      <c r="IDI8" s="216"/>
      <c r="IDJ8" s="216"/>
      <c r="IDK8" s="216"/>
      <c r="IDL8" s="216"/>
      <c r="IDM8" s="216"/>
      <c r="IDN8" s="216"/>
      <c r="IDO8" s="216"/>
      <c r="IDP8" s="216"/>
      <c r="IDQ8" s="216"/>
      <c r="IDR8" s="216"/>
      <c r="IDS8" s="216"/>
      <c r="IDT8" s="216"/>
      <c r="IDU8" s="216"/>
      <c r="IDV8" s="216"/>
      <c r="IDW8" s="216"/>
      <c r="IDX8" s="216"/>
      <c r="IDY8" s="216"/>
      <c r="IDZ8" s="216"/>
      <c r="IEA8" s="216"/>
      <c r="IEB8" s="216"/>
      <c r="IEC8" s="216"/>
      <c r="IED8" s="216"/>
      <c r="IEE8" s="216"/>
      <c r="IEF8" s="216"/>
      <c r="IEG8" s="216"/>
      <c r="IEH8" s="216"/>
      <c r="IEI8" s="216"/>
      <c r="IEJ8" s="216"/>
      <c r="IEK8" s="216"/>
      <c r="IEL8" s="216"/>
      <c r="IEM8" s="216"/>
      <c r="IEN8" s="216"/>
      <c r="IEO8" s="216"/>
      <c r="IEP8" s="216"/>
      <c r="IEQ8" s="216"/>
      <c r="IER8" s="216"/>
      <c r="IES8" s="216"/>
      <c r="IET8" s="216"/>
      <c r="IEU8" s="216"/>
      <c r="IEV8" s="216"/>
      <c r="IEW8" s="216"/>
      <c r="IEX8" s="216"/>
      <c r="IEY8" s="216"/>
      <c r="IEZ8" s="216"/>
      <c r="IFA8" s="216"/>
      <c r="IFB8" s="216"/>
      <c r="IFC8" s="216"/>
      <c r="IFD8" s="216"/>
      <c r="IFE8" s="216"/>
      <c r="IFF8" s="216"/>
      <c r="IFG8" s="216"/>
      <c r="IFH8" s="216"/>
      <c r="IFI8" s="216"/>
      <c r="IFJ8" s="216"/>
      <c r="IFK8" s="216"/>
      <c r="IFL8" s="216"/>
      <c r="IFM8" s="216"/>
      <c r="IFN8" s="216"/>
      <c r="IFO8" s="216"/>
      <c r="IFP8" s="216"/>
      <c r="IFQ8" s="216"/>
      <c r="IFR8" s="216"/>
      <c r="IFS8" s="216"/>
      <c r="IFT8" s="216"/>
      <c r="IFU8" s="216"/>
      <c r="IFV8" s="216"/>
      <c r="IFW8" s="216"/>
      <c r="IFX8" s="216"/>
      <c r="IFY8" s="216"/>
      <c r="IFZ8" s="216"/>
      <c r="IGA8" s="216"/>
      <c r="IGB8" s="216"/>
      <c r="IGC8" s="216"/>
      <c r="IGD8" s="216"/>
      <c r="IGE8" s="216"/>
      <c r="IGF8" s="216"/>
      <c r="IGG8" s="216"/>
      <c r="IGH8" s="216"/>
      <c r="IGI8" s="216"/>
      <c r="IGJ8" s="216"/>
      <c r="IGK8" s="216"/>
      <c r="IGL8" s="216"/>
      <c r="IGM8" s="216"/>
      <c r="IGN8" s="216"/>
      <c r="IGO8" s="216"/>
      <c r="IGP8" s="216"/>
      <c r="IGQ8" s="216"/>
      <c r="IGR8" s="216"/>
      <c r="IGS8" s="216"/>
      <c r="IGT8" s="216"/>
      <c r="IGU8" s="216"/>
      <c r="IGV8" s="216"/>
      <c r="IGW8" s="216"/>
      <c r="IGX8" s="216"/>
      <c r="IGY8" s="216"/>
      <c r="IGZ8" s="216"/>
      <c r="IHA8" s="216"/>
      <c r="IHB8" s="216"/>
      <c r="IHC8" s="216"/>
      <c r="IHD8" s="216"/>
      <c r="IHE8" s="216"/>
      <c r="IHF8" s="216"/>
      <c r="IHG8" s="216"/>
      <c r="IHH8" s="216"/>
      <c r="IHI8" s="216"/>
      <c r="IHJ8" s="216"/>
      <c r="IHK8" s="216"/>
      <c r="IHL8" s="216"/>
      <c r="IHM8" s="216"/>
      <c r="IHN8" s="216"/>
      <c r="IHO8" s="216"/>
      <c r="IHP8" s="216"/>
      <c r="IHQ8" s="216"/>
      <c r="IHR8" s="216"/>
      <c r="IHS8" s="216"/>
      <c r="IHT8" s="216"/>
      <c r="IHU8" s="216"/>
      <c r="IHV8" s="216"/>
      <c r="IHW8" s="216"/>
      <c r="IHX8" s="216"/>
      <c r="IHY8" s="216"/>
      <c r="IHZ8" s="216"/>
      <c r="IIA8" s="216"/>
      <c r="IIB8" s="216"/>
      <c r="IIC8" s="216"/>
      <c r="IID8" s="216"/>
      <c r="IIE8" s="216"/>
      <c r="IIF8" s="216"/>
      <c r="IIG8" s="216"/>
      <c r="IIH8" s="216"/>
      <c r="III8" s="216"/>
      <c r="IIJ8" s="216"/>
      <c r="IIK8" s="216"/>
      <c r="IIL8" s="216"/>
      <c r="IIM8" s="216"/>
      <c r="IIN8" s="216"/>
      <c r="IIO8" s="216"/>
      <c r="IIP8" s="216"/>
      <c r="IIQ8" s="216"/>
      <c r="IIR8" s="216"/>
      <c r="IIS8" s="216"/>
      <c r="IIT8" s="216"/>
      <c r="IIU8" s="216"/>
      <c r="IIV8" s="216"/>
      <c r="IIW8" s="216"/>
      <c r="IIX8" s="216"/>
      <c r="IIY8" s="216"/>
      <c r="IIZ8" s="216"/>
      <c r="IJA8" s="216"/>
      <c r="IJB8" s="216"/>
      <c r="IJC8" s="216"/>
      <c r="IJD8" s="216"/>
      <c r="IJE8" s="216"/>
      <c r="IJF8" s="216"/>
      <c r="IJG8" s="216"/>
      <c r="IJH8" s="216"/>
      <c r="IJI8" s="216"/>
      <c r="IJJ8" s="216"/>
      <c r="IJK8" s="216"/>
      <c r="IJL8" s="216"/>
      <c r="IJM8" s="216"/>
      <c r="IJN8" s="216"/>
      <c r="IJO8" s="216"/>
      <c r="IJP8" s="216"/>
      <c r="IJQ8" s="216"/>
      <c r="IJR8" s="216"/>
      <c r="IJS8" s="216"/>
      <c r="IJT8" s="216"/>
      <c r="IJU8" s="216"/>
      <c r="IJV8" s="216"/>
      <c r="IJW8" s="216"/>
      <c r="IJX8" s="216"/>
      <c r="IJY8" s="216"/>
      <c r="IJZ8" s="216"/>
      <c r="IKA8" s="216"/>
      <c r="IKB8" s="216"/>
      <c r="IKC8" s="216"/>
      <c r="IKD8" s="216"/>
      <c r="IKE8" s="216"/>
      <c r="IKF8" s="216"/>
      <c r="IKG8" s="216"/>
      <c r="IKH8" s="216"/>
      <c r="IKI8" s="216"/>
      <c r="IKJ8" s="216"/>
      <c r="IKK8" s="216"/>
      <c r="IKL8" s="216"/>
      <c r="IKM8" s="216"/>
      <c r="IKN8" s="216"/>
      <c r="IKO8" s="216"/>
      <c r="IKP8" s="216"/>
      <c r="IKQ8" s="216"/>
      <c r="IKR8" s="216"/>
      <c r="IKS8" s="216"/>
      <c r="IKT8" s="216"/>
      <c r="IKU8" s="216"/>
      <c r="IKV8" s="216"/>
      <c r="IKW8" s="216"/>
      <c r="IKX8" s="216"/>
      <c r="IKY8" s="216"/>
      <c r="IKZ8" s="216"/>
      <c r="ILA8" s="216"/>
      <c r="ILB8" s="216"/>
      <c r="ILC8" s="216"/>
      <c r="ILD8" s="216"/>
      <c r="ILE8" s="216"/>
      <c r="ILF8" s="216"/>
      <c r="ILG8" s="216"/>
      <c r="ILH8" s="216"/>
      <c r="ILI8" s="216"/>
      <c r="ILJ8" s="216"/>
      <c r="ILK8" s="216"/>
      <c r="ILL8" s="216"/>
      <c r="ILM8" s="216"/>
      <c r="ILN8" s="216"/>
      <c r="ILO8" s="216"/>
      <c r="ILP8" s="216"/>
      <c r="ILQ8" s="216"/>
      <c r="ILR8" s="216"/>
      <c r="ILS8" s="216"/>
      <c r="ILT8" s="216"/>
      <c r="ILU8" s="216"/>
      <c r="ILV8" s="216"/>
      <c r="ILW8" s="216"/>
      <c r="ILX8" s="216"/>
      <c r="ILY8" s="216"/>
      <c r="ILZ8" s="216"/>
      <c r="IMA8" s="216"/>
      <c r="IMB8" s="216"/>
      <c r="IMC8" s="216"/>
      <c r="IMD8" s="216"/>
      <c r="IME8" s="216"/>
      <c r="IMF8" s="216"/>
      <c r="IMG8" s="216"/>
      <c r="IMH8" s="216"/>
      <c r="IMI8" s="216"/>
      <c r="IMJ8" s="216"/>
      <c r="IMK8" s="216"/>
      <c r="IML8" s="216"/>
      <c r="IMM8" s="216"/>
      <c r="IMN8" s="216"/>
      <c r="IMO8" s="216"/>
      <c r="IMP8" s="216"/>
      <c r="IMQ8" s="216"/>
      <c r="IMR8" s="216"/>
      <c r="IMS8" s="216"/>
      <c r="IMT8" s="216"/>
      <c r="IMU8" s="216"/>
      <c r="IMV8" s="216"/>
      <c r="IMW8" s="216"/>
      <c r="IMX8" s="216"/>
      <c r="IMY8" s="216"/>
      <c r="IMZ8" s="216"/>
      <c r="INA8" s="216"/>
      <c r="INB8" s="216"/>
      <c r="INC8" s="216"/>
      <c r="IND8" s="216"/>
      <c r="INE8" s="216"/>
      <c r="INF8" s="216"/>
      <c r="ING8" s="216"/>
      <c r="INH8" s="216"/>
      <c r="INI8" s="216"/>
      <c r="INJ8" s="216"/>
      <c r="INK8" s="216"/>
      <c r="INL8" s="216"/>
      <c r="INM8" s="216"/>
      <c r="INN8" s="216"/>
      <c r="INO8" s="216"/>
      <c r="INP8" s="216"/>
      <c r="INQ8" s="216"/>
      <c r="INR8" s="216"/>
      <c r="INS8" s="216"/>
      <c r="INT8" s="216"/>
      <c r="INU8" s="216"/>
      <c r="INV8" s="216"/>
      <c r="INW8" s="216"/>
      <c r="INX8" s="216"/>
      <c r="INY8" s="216"/>
      <c r="INZ8" s="216"/>
      <c r="IOA8" s="216"/>
      <c r="IOB8" s="216"/>
      <c r="IOC8" s="216"/>
      <c r="IOD8" s="216"/>
      <c r="IOE8" s="216"/>
      <c r="IOF8" s="216"/>
      <c r="IOG8" s="216"/>
      <c r="IOH8" s="216"/>
      <c r="IOI8" s="216"/>
      <c r="IOJ8" s="216"/>
      <c r="IOK8" s="216"/>
      <c r="IOL8" s="216"/>
      <c r="IOM8" s="216"/>
      <c r="ION8" s="216"/>
      <c r="IOO8" s="216"/>
      <c r="IOP8" s="216"/>
      <c r="IOQ8" s="216"/>
      <c r="IOR8" s="216"/>
      <c r="IOS8" s="216"/>
      <c r="IOT8" s="216"/>
      <c r="IOU8" s="216"/>
      <c r="IOV8" s="216"/>
      <c r="IOW8" s="216"/>
      <c r="IOX8" s="216"/>
      <c r="IOY8" s="216"/>
      <c r="IOZ8" s="216"/>
      <c r="IPA8" s="216"/>
      <c r="IPB8" s="216"/>
      <c r="IPC8" s="216"/>
      <c r="IPD8" s="216"/>
      <c r="IPE8" s="216"/>
      <c r="IPF8" s="216"/>
      <c r="IPG8" s="216"/>
      <c r="IPH8" s="216"/>
      <c r="IPI8" s="216"/>
      <c r="IPJ8" s="216"/>
      <c r="IPK8" s="216"/>
      <c r="IPL8" s="216"/>
      <c r="IPM8" s="216"/>
      <c r="IPN8" s="216"/>
      <c r="IPO8" s="216"/>
      <c r="IPP8" s="216"/>
      <c r="IPQ8" s="216"/>
      <c r="IPR8" s="216"/>
      <c r="IPS8" s="216"/>
      <c r="IPT8" s="216"/>
      <c r="IPU8" s="216"/>
      <c r="IPV8" s="216"/>
      <c r="IPW8" s="216"/>
      <c r="IPX8" s="216"/>
      <c r="IPY8" s="216"/>
      <c r="IPZ8" s="216"/>
      <c r="IQA8" s="216"/>
      <c r="IQB8" s="216"/>
      <c r="IQC8" s="216"/>
      <c r="IQD8" s="216"/>
      <c r="IQE8" s="216"/>
      <c r="IQF8" s="216"/>
      <c r="IQG8" s="216"/>
      <c r="IQH8" s="216"/>
      <c r="IQI8" s="216"/>
      <c r="IQJ8" s="216"/>
      <c r="IQK8" s="216"/>
      <c r="IQL8" s="216"/>
      <c r="IQM8" s="216"/>
      <c r="IQN8" s="216"/>
      <c r="IQO8" s="216"/>
      <c r="IQP8" s="216"/>
      <c r="IQQ8" s="216"/>
      <c r="IQR8" s="216"/>
      <c r="IQS8" s="216"/>
      <c r="IQT8" s="216"/>
      <c r="IQU8" s="216"/>
      <c r="IQV8" s="216"/>
      <c r="IQW8" s="216"/>
      <c r="IQX8" s="216"/>
      <c r="IQY8" s="216"/>
      <c r="IQZ8" s="216"/>
      <c r="IRA8" s="216"/>
      <c r="IRB8" s="216"/>
      <c r="IRC8" s="216"/>
      <c r="IRD8" s="216"/>
      <c r="IRE8" s="216"/>
      <c r="IRF8" s="216"/>
      <c r="IRG8" s="216"/>
      <c r="IRH8" s="216"/>
      <c r="IRI8" s="216"/>
      <c r="IRJ8" s="216"/>
      <c r="IRK8" s="216"/>
      <c r="IRL8" s="216"/>
      <c r="IRM8" s="216"/>
      <c r="IRN8" s="216"/>
      <c r="IRO8" s="216"/>
      <c r="IRP8" s="216"/>
      <c r="IRQ8" s="216"/>
      <c r="IRR8" s="216"/>
      <c r="IRS8" s="216"/>
      <c r="IRT8" s="216"/>
      <c r="IRU8" s="216"/>
      <c r="IRV8" s="216"/>
      <c r="IRW8" s="216"/>
      <c r="IRX8" s="216"/>
      <c r="IRY8" s="216"/>
      <c r="IRZ8" s="216"/>
      <c r="ISA8" s="216"/>
      <c r="ISB8" s="216"/>
      <c r="ISC8" s="216"/>
      <c r="ISD8" s="216"/>
      <c r="ISE8" s="216"/>
      <c r="ISF8" s="216"/>
      <c r="ISG8" s="216"/>
      <c r="ISH8" s="216"/>
      <c r="ISI8" s="216"/>
      <c r="ISJ8" s="216"/>
      <c r="ISK8" s="216"/>
      <c r="ISL8" s="216"/>
      <c r="ISM8" s="216"/>
      <c r="ISN8" s="216"/>
      <c r="ISO8" s="216"/>
      <c r="ISP8" s="216"/>
      <c r="ISQ8" s="216"/>
      <c r="ISR8" s="216"/>
      <c r="ISS8" s="216"/>
      <c r="IST8" s="216"/>
      <c r="ISU8" s="216"/>
      <c r="ISV8" s="216"/>
      <c r="ISW8" s="216"/>
      <c r="ISX8" s="216"/>
      <c r="ISY8" s="216"/>
      <c r="ISZ8" s="216"/>
      <c r="ITA8" s="216"/>
      <c r="ITB8" s="216"/>
      <c r="ITC8" s="216"/>
      <c r="ITD8" s="216"/>
      <c r="ITE8" s="216"/>
      <c r="ITF8" s="216"/>
      <c r="ITG8" s="216"/>
      <c r="ITH8" s="216"/>
      <c r="ITI8" s="216"/>
      <c r="ITJ8" s="216"/>
      <c r="ITK8" s="216"/>
      <c r="ITL8" s="216"/>
      <c r="ITM8" s="216"/>
      <c r="ITN8" s="216"/>
      <c r="ITO8" s="216"/>
      <c r="ITP8" s="216"/>
      <c r="ITQ8" s="216"/>
      <c r="ITR8" s="216"/>
      <c r="ITS8" s="216"/>
      <c r="ITT8" s="216"/>
      <c r="ITU8" s="216"/>
      <c r="ITV8" s="216"/>
      <c r="ITW8" s="216"/>
      <c r="ITX8" s="216"/>
      <c r="ITY8" s="216"/>
      <c r="ITZ8" s="216"/>
      <c r="IUA8" s="216"/>
      <c r="IUB8" s="216"/>
      <c r="IUC8" s="216"/>
      <c r="IUD8" s="216"/>
      <c r="IUE8" s="216"/>
      <c r="IUF8" s="216"/>
      <c r="IUG8" s="216"/>
      <c r="IUH8" s="216"/>
      <c r="IUI8" s="216"/>
      <c r="IUJ8" s="216"/>
      <c r="IUK8" s="216"/>
      <c r="IUL8" s="216"/>
      <c r="IUM8" s="216"/>
      <c r="IUN8" s="216"/>
      <c r="IUO8" s="216"/>
      <c r="IUP8" s="216"/>
      <c r="IUQ8" s="216"/>
      <c r="IUR8" s="216"/>
      <c r="IUS8" s="216"/>
      <c r="IUT8" s="216"/>
      <c r="IUU8" s="216"/>
      <c r="IUV8" s="216"/>
      <c r="IUW8" s="216"/>
      <c r="IUX8" s="216"/>
      <c r="IUY8" s="216"/>
      <c r="IUZ8" s="216"/>
      <c r="IVA8" s="216"/>
      <c r="IVB8" s="216"/>
      <c r="IVC8" s="216"/>
      <c r="IVD8" s="216"/>
      <c r="IVE8" s="216"/>
      <c r="IVF8" s="216"/>
      <c r="IVG8" s="216"/>
      <c r="IVH8" s="216"/>
      <c r="IVI8" s="216"/>
      <c r="IVJ8" s="216"/>
      <c r="IVK8" s="216"/>
      <c r="IVL8" s="216"/>
      <c r="IVM8" s="216"/>
      <c r="IVN8" s="216"/>
      <c r="IVO8" s="216"/>
      <c r="IVP8" s="216"/>
      <c r="IVQ8" s="216"/>
      <c r="IVR8" s="216"/>
      <c r="IVS8" s="216"/>
      <c r="IVT8" s="216"/>
      <c r="IVU8" s="216"/>
      <c r="IVV8" s="216"/>
      <c r="IVW8" s="216"/>
      <c r="IVX8" s="216"/>
      <c r="IVY8" s="216"/>
      <c r="IVZ8" s="216"/>
      <c r="IWA8" s="216"/>
      <c r="IWB8" s="216"/>
      <c r="IWC8" s="216"/>
      <c r="IWD8" s="216"/>
      <c r="IWE8" s="216"/>
      <c r="IWF8" s="216"/>
      <c r="IWG8" s="216"/>
      <c r="IWH8" s="216"/>
      <c r="IWI8" s="216"/>
      <c r="IWJ8" s="216"/>
      <c r="IWK8" s="216"/>
      <c r="IWL8" s="216"/>
      <c r="IWM8" s="216"/>
      <c r="IWN8" s="216"/>
      <c r="IWO8" s="216"/>
      <c r="IWP8" s="216"/>
      <c r="IWQ8" s="216"/>
      <c r="IWR8" s="216"/>
      <c r="IWS8" s="216"/>
      <c r="IWT8" s="216"/>
      <c r="IWU8" s="216"/>
      <c r="IWV8" s="216"/>
      <c r="IWW8" s="216"/>
      <c r="IWX8" s="216"/>
      <c r="IWY8" s="216"/>
      <c r="IWZ8" s="216"/>
      <c r="IXA8" s="216"/>
      <c r="IXB8" s="216"/>
      <c r="IXC8" s="216"/>
      <c r="IXD8" s="216"/>
      <c r="IXE8" s="216"/>
      <c r="IXF8" s="216"/>
      <c r="IXG8" s="216"/>
      <c r="IXH8" s="216"/>
      <c r="IXI8" s="216"/>
      <c r="IXJ8" s="216"/>
      <c r="IXK8" s="216"/>
      <c r="IXL8" s="216"/>
      <c r="IXM8" s="216"/>
      <c r="IXN8" s="216"/>
      <c r="IXO8" s="216"/>
      <c r="IXP8" s="216"/>
      <c r="IXQ8" s="216"/>
      <c r="IXR8" s="216"/>
      <c r="IXS8" s="216"/>
      <c r="IXT8" s="216"/>
      <c r="IXU8" s="216"/>
      <c r="IXV8" s="216"/>
      <c r="IXW8" s="216"/>
      <c r="IXX8" s="216"/>
      <c r="IXY8" s="216"/>
      <c r="IXZ8" s="216"/>
      <c r="IYA8" s="216"/>
      <c r="IYB8" s="216"/>
      <c r="IYC8" s="216"/>
      <c r="IYD8" s="216"/>
      <c r="IYE8" s="216"/>
      <c r="IYF8" s="216"/>
      <c r="IYG8" s="216"/>
      <c r="IYH8" s="216"/>
      <c r="IYI8" s="216"/>
      <c r="IYJ8" s="216"/>
      <c r="IYK8" s="216"/>
      <c r="IYL8" s="216"/>
      <c r="IYM8" s="216"/>
      <c r="IYN8" s="216"/>
      <c r="IYO8" s="216"/>
      <c r="IYP8" s="216"/>
      <c r="IYQ8" s="216"/>
      <c r="IYR8" s="216"/>
      <c r="IYS8" s="216"/>
      <c r="IYT8" s="216"/>
      <c r="IYU8" s="216"/>
      <c r="IYV8" s="216"/>
      <c r="IYW8" s="216"/>
      <c r="IYX8" s="216"/>
      <c r="IYY8" s="216"/>
      <c r="IYZ8" s="216"/>
      <c r="IZA8" s="216"/>
      <c r="IZB8" s="216"/>
      <c r="IZC8" s="216"/>
      <c r="IZD8" s="216"/>
      <c r="IZE8" s="216"/>
      <c r="IZF8" s="216"/>
      <c r="IZG8" s="216"/>
      <c r="IZH8" s="216"/>
      <c r="IZI8" s="216"/>
      <c r="IZJ8" s="216"/>
      <c r="IZK8" s="216"/>
      <c r="IZL8" s="216"/>
      <c r="IZM8" s="216"/>
      <c r="IZN8" s="216"/>
      <c r="IZO8" s="216"/>
      <c r="IZP8" s="216"/>
      <c r="IZQ8" s="216"/>
      <c r="IZR8" s="216"/>
      <c r="IZS8" s="216"/>
      <c r="IZT8" s="216"/>
      <c r="IZU8" s="216"/>
      <c r="IZV8" s="216"/>
      <c r="IZW8" s="216"/>
      <c r="IZX8" s="216"/>
      <c r="IZY8" s="216"/>
      <c r="IZZ8" s="216"/>
      <c r="JAA8" s="216"/>
      <c r="JAB8" s="216"/>
      <c r="JAC8" s="216"/>
      <c r="JAD8" s="216"/>
      <c r="JAE8" s="216"/>
      <c r="JAF8" s="216"/>
      <c r="JAG8" s="216"/>
      <c r="JAH8" s="216"/>
      <c r="JAI8" s="216"/>
      <c r="JAJ8" s="216"/>
      <c r="JAK8" s="216"/>
      <c r="JAL8" s="216"/>
      <c r="JAM8" s="216"/>
      <c r="JAN8" s="216"/>
      <c r="JAO8" s="216"/>
      <c r="JAP8" s="216"/>
      <c r="JAQ8" s="216"/>
      <c r="JAR8" s="216"/>
      <c r="JAS8" s="216"/>
      <c r="JAT8" s="216"/>
      <c r="JAU8" s="216"/>
      <c r="JAV8" s="216"/>
      <c r="JAW8" s="216"/>
      <c r="JAX8" s="216"/>
      <c r="JAY8" s="216"/>
      <c r="JAZ8" s="216"/>
      <c r="JBA8" s="216"/>
      <c r="JBB8" s="216"/>
      <c r="JBC8" s="216"/>
      <c r="JBD8" s="216"/>
      <c r="JBE8" s="216"/>
      <c r="JBF8" s="216"/>
      <c r="JBG8" s="216"/>
      <c r="JBH8" s="216"/>
      <c r="JBI8" s="216"/>
      <c r="JBJ8" s="216"/>
      <c r="JBK8" s="216"/>
      <c r="JBL8" s="216"/>
      <c r="JBM8" s="216"/>
      <c r="JBN8" s="216"/>
      <c r="JBO8" s="216"/>
      <c r="JBP8" s="216"/>
      <c r="JBQ8" s="216"/>
      <c r="JBR8" s="216"/>
      <c r="JBS8" s="216"/>
      <c r="JBT8" s="216"/>
      <c r="JBU8" s="216"/>
      <c r="JBV8" s="216"/>
      <c r="JBW8" s="216"/>
      <c r="JBX8" s="216"/>
      <c r="JBY8" s="216"/>
      <c r="JBZ8" s="216"/>
      <c r="JCA8" s="216"/>
      <c r="JCB8" s="216"/>
      <c r="JCC8" s="216"/>
      <c r="JCD8" s="216"/>
      <c r="JCE8" s="216"/>
      <c r="JCF8" s="216"/>
      <c r="JCG8" s="216"/>
      <c r="JCH8" s="216"/>
      <c r="JCI8" s="216"/>
      <c r="JCJ8" s="216"/>
      <c r="JCK8" s="216"/>
      <c r="JCL8" s="216"/>
      <c r="JCM8" s="216"/>
      <c r="JCN8" s="216"/>
      <c r="JCO8" s="216"/>
      <c r="JCP8" s="216"/>
      <c r="JCQ8" s="216"/>
      <c r="JCR8" s="216"/>
      <c r="JCS8" s="216"/>
      <c r="JCT8" s="216"/>
      <c r="JCU8" s="216"/>
      <c r="JCV8" s="216"/>
      <c r="JCW8" s="216"/>
      <c r="JCX8" s="216"/>
      <c r="JCY8" s="216"/>
      <c r="JCZ8" s="216"/>
      <c r="JDA8" s="216"/>
      <c r="JDB8" s="216"/>
      <c r="JDC8" s="216"/>
      <c r="JDD8" s="216"/>
      <c r="JDE8" s="216"/>
      <c r="JDF8" s="216"/>
      <c r="JDG8" s="216"/>
      <c r="JDH8" s="216"/>
      <c r="JDI8" s="216"/>
      <c r="JDJ8" s="216"/>
      <c r="JDK8" s="216"/>
      <c r="JDL8" s="216"/>
      <c r="JDM8" s="216"/>
      <c r="JDN8" s="216"/>
      <c r="JDO8" s="216"/>
      <c r="JDP8" s="216"/>
      <c r="JDQ8" s="216"/>
      <c r="JDR8" s="216"/>
      <c r="JDS8" s="216"/>
      <c r="JDT8" s="216"/>
      <c r="JDU8" s="216"/>
      <c r="JDV8" s="216"/>
      <c r="JDW8" s="216"/>
      <c r="JDX8" s="216"/>
      <c r="JDY8" s="216"/>
      <c r="JDZ8" s="216"/>
      <c r="JEA8" s="216"/>
      <c r="JEB8" s="216"/>
      <c r="JEC8" s="216"/>
      <c r="JED8" s="216"/>
      <c r="JEE8" s="216"/>
      <c r="JEF8" s="216"/>
      <c r="JEG8" s="216"/>
      <c r="JEH8" s="216"/>
      <c r="JEI8" s="216"/>
      <c r="JEJ8" s="216"/>
      <c r="JEK8" s="216"/>
      <c r="JEL8" s="216"/>
      <c r="JEM8" s="216"/>
      <c r="JEN8" s="216"/>
      <c r="JEO8" s="216"/>
      <c r="JEP8" s="216"/>
      <c r="JEQ8" s="216"/>
      <c r="JER8" s="216"/>
      <c r="JES8" s="216"/>
      <c r="JET8" s="216"/>
      <c r="JEU8" s="216"/>
      <c r="JEV8" s="216"/>
      <c r="JEW8" s="216"/>
      <c r="JEX8" s="216"/>
      <c r="JEY8" s="216"/>
      <c r="JEZ8" s="216"/>
      <c r="JFA8" s="216"/>
      <c r="JFB8" s="216"/>
      <c r="JFC8" s="216"/>
      <c r="JFD8" s="216"/>
      <c r="JFE8" s="216"/>
      <c r="JFF8" s="216"/>
      <c r="JFG8" s="216"/>
      <c r="JFH8" s="216"/>
      <c r="JFI8" s="216"/>
      <c r="JFJ8" s="216"/>
      <c r="JFK8" s="216"/>
      <c r="JFL8" s="216"/>
      <c r="JFM8" s="216"/>
      <c r="JFN8" s="216"/>
      <c r="JFO8" s="216"/>
      <c r="JFP8" s="216"/>
      <c r="JFQ8" s="216"/>
      <c r="JFR8" s="216"/>
      <c r="JFS8" s="216"/>
      <c r="JFT8" s="216"/>
      <c r="JFU8" s="216"/>
      <c r="JFV8" s="216"/>
      <c r="JFW8" s="216"/>
      <c r="JFX8" s="216"/>
      <c r="JFY8" s="216"/>
      <c r="JFZ8" s="216"/>
      <c r="JGA8" s="216"/>
      <c r="JGB8" s="216"/>
      <c r="JGC8" s="216"/>
      <c r="JGD8" s="216"/>
      <c r="JGE8" s="216"/>
      <c r="JGF8" s="216"/>
      <c r="JGG8" s="216"/>
      <c r="JGH8" s="216"/>
      <c r="JGI8" s="216"/>
      <c r="JGJ8" s="216"/>
      <c r="JGK8" s="216"/>
      <c r="JGL8" s="216"/>
      <c r="JGM8" s="216"/>
      <c r="JGN8" s="216"/>
      <c r="JGO8" s="216"/>
      <c r="JGP8" s="216"/>
      <c r="JGQ8" s="216"/>
      <c r="JGR8" s="216"/>
      <c r="JGS8" s="216"/>
      <c r="JGT8" s="216"/>
      <c r="JGU8" s="216"/>
      <c r="JGV8" s="216"/>
      <c r="JGW8" s="216"/>
      <c r="JGX8" s="216"/>
      <c r="JGY8" s="216"/>
      <c r="JGZ8" s="216"/>
      <c r="JHA8" s="216"/>
      <c r="JHB8" s="216"/>
      <c r="JHC8" s="216"/>
      <c r="JHD8" s="216"/>
      <c r="JHE8" s="216"/>
      <c r="JHF8" s="216"/>
      <c r="JHG8" s="216"/>
      <c r="JHH8" s="216"/>
      <c r="JHI8" s="216"/>
      <c r="JHJ8" s="216"/>
      <c r="JHK8" s="216"/>
      <c r="JHL8" s="216"/>
      <c r="JHM8" s="216"/>
      <c r="JHN8" s="216"/>
      <c r="JHO8" s="216"/>
      <c r="JHP8" s="216"/>
      <c r="JHQ8" s="216"/>
      <c r="JHR8" s="216"/>
      <c r="JHS8" s="216"/>
      <c r="JHT8" s="216"/>
      <c r="JHU8" s="216"/>
      <c r="JHV8" s="216"/>
      <c r="JHW8" s="216"/>
      <c r="JHX8" s="216"/>
      <c r="JHY8" s="216"/>
      <c r="JHZ8" s="216"/>
      <c r="JIA8" s="216"/>
      <c r="JIB8" s="216"/>
      <c r="JIC8" s="216"/>
      <c r="JID8" s="216"/>
      <c r="JIE8" s="216"/>
      <c r="JIF8" s="216"/>
      <c r="JIG8" s="216"/>
      <c r="JIH8" s="216"/>
      <c r="JII8" s="216"/>
      <c r="JIJ8" s="216"/>
      <c r="JIK8" s="216"/>
      <c r="JIL8" s="216"/>
      <c r="JIM8" s="216"/>
      <c r="JIN8" s="216"/>
      <c r="JIO8" s="216"/>
      <c r="JIP8" s="216"/>
      <c r="JIQ8" s="216"/>
      <c r="JIR8" s="216"/>
      <c r="JIS8" s="216"/>
      <c r="JIT8" s="216"/>
      <c r="JIU8" s="216"/>
      <c r="JIV8" s="216"/>
      <c r="JIW8" s="216"/>
      <c r="JIX8" s="216"/>
      <c r="JIY8" s="216"/>
      <c r="JIZ8" s="216"/>
      <c r="JJA8" s="216"/>
      <c r="JJB8" s="216"/>
      <c r="JJC8" s="216"/>
      <c r="JJD8" s="216"/>
      <c r="JJE8" s="216"/>
      <c r="JJF8" s="216"/>
      <c r="JJG8" s="216"/>
      <c r="JJH8" s="216"/>
      <c r="JJI8" s="216"/>
      <c r="JJJ8" s="216"/>
      <c r="JJK8" s="216"/>
      <c r="JJL8" s="216"/>
      <c r="JJM8" s="216"/>
      <c r="JJN8" s="216"/>
      <c r="JJO8" s="216"/>
      <c r="JJP8" s="216"/>
      <c r="JJQ8" s="216"/>
      <c r="JJR8" s="216"/>
      <c r="JJS8" s="216"/>
      <c r="JJT8" s="216"/>
      <c r="JJU8" s="216"/>
      <c r="JJV8" s="216"/>
      <c r="JJW8" s="216"/>
      <c r="JJX8" s="216"/>
      <c r="JJY8" s="216"/>
      <c r="JJZ8" s="216"/>
      <c r="JKA8" s="216"/>
      <c r="JKB8" s="216"/>
      <c r="JKC8" s="216"/>
      <c r="JKD8" s="216"/>
      <c r="JKE8" s="216"/>
      <c r="JKF8" s="216"/>
      <c r="JKG8" s="216"/>
      <c r="JKH8" s="216"/>
      <c r="JKI8" s="216"/>
      <c r="JKJ8" s="216"/>
      <c r="JKK8" s="216"/>
      <c r="JKL8" s="216"/>
      <c r="JKM8" s="216"/>
      <c r="JKN8" s="216"/>
      <c r="JKO8" s="216"/>
      <c r="JKP8" s="216"/>
      <c r="JKQ8" s="216"/>
      <c r="JKR8" s="216"/>
      <c r="JKS8" s="216"/>
      <c r="JKT8" s="216"/>
      <c r="JKU8" s="216"/>
      <c r="JKV8" s="216"/>
      <c r="JKW8" s="216"/>
      <c r="JKX8" s="216"/>
      <c r="JKY8" s="216"/>
      <c r="JKZ8" s="216"/>
      <c r="JLA8" s="216"/>
      <c r="JLB8" s="216"/>
      <c r="JLC8" s="216"/>
      <c r="JLD8" s="216"/>
      <c r="JLE8" s="216"/>
      <c r="JLF8" s="216"/>
      <c r="JLG8" s="216"/>
      <c r="JLH8" s="216"/>
      <c r="JLI8" s="216"/>
      <c r="JLJ8" s="216"/>
      <c r="JLK8" s="216"/>
      <c r="JLL8" s="216"/>
      <c r="JLM8" s="216"/>
      <c r="JLN8" s="216"/>
      <c r="JLO8" s="216"/>
      <c r="JLP8" s="216"/>
      <c r="JLQ8" s="216"/>
      <c r="JLR8" s="216"/>
      <c r="JLS8" s="216"/>
      <c r="JLT8" s="216"/>
      <c r="JLU8" s="216"/>
      <c r="JLV8" s="216"/>
      <c r="JLW8" s="216"/>
      <c r="JLX8" s="216"/>
      <c r="JLY8" s="216"/>
      <c r="JLZ8" s="216"/>
      <c r="JMA8" s="216"/>
      <c r="JMB8" s="216"/>
      <c r="JMC8" s="216"/>
      <c r="JMD8" s="216"/>
      <c r="JME8" s="216"/>
      <c r="JMF8" s="216"/>
      <c r="JMG8" s="216"/>
      <c r="JMH8" s="216"/>
      <c r="JMI8" s="216"/>
      <c r="JMJ8" s="216"/>
      <c r="JMK8" s="216"/>
      <c r="JML8" s="216"/>
      <c r="JMM8" s="216"/>
      <c r="JMN8" s="216"/>
      <c r="JMO8" s="216"/>
      <c r="JMP8" s="216"/>
      <c r="JMQ8" s="216"/>
      <c r="JMR8" s="216"/>
      <c r="JMS8" s="216"/>
      <c r="JMT8" s="216"/>
      <c r="JMU8" s="216"/>
      <c r="JMV8" s="216"/>
      <c r="JMW8" s="216"/>
      <c r="JMX8" s="216"/>
      <c r="JMY8" s="216"/>
      <c r="JMZ8" s="216"/>
      <c r="JNA8" s="216"/>
      <c r="JNB8" s="216"/>
      <c r="JNC8" s="216"/>
      <c r="JND8" s="216"/>
      <c r="JNE8" s="216"/>
      <c r="JNF8" s="216"/>
      <c r="JNG8" s="216"/>
      <c r="JNH8" s="216"/>
      <c r="JNI8" s="216"/>
      <c r="JNJ8" s="216"/>
      <c r="JNK8" s="216"/>
      <c r="JNL8" s="216"/>
      <c r="JNM8" s="216"/>
      <c r="JNN8" s="216"/>
      <c r="JNO8" s="216"/>
      <c r="JNP8" s="216"/>
      <c r="JNQ8" s="216"/>
      <c r="JNR8" s="216"/>
      <c r="JNS8" s="216"/>
      <c r="JNT8" s="216"/>
      <c r="JNU8" s="216"/>
      <c r="JNV8" s="216"/>
      <c r="JNW8" s="216"/>
      <c r="JNX8" s="216"/>
      <c r="JNY8" s="216"/>
      <c r="JNZ8" s="216"/>
      <c r="JOA8" s="216"/>
      <c r="JOB8" s="216"/>
      <c r="JOC8" s="216"/>
      <c r="JOD8" s="216"/>
      <c r="JOE8" s="216"/>
      <c r="JOF8" s="216"/>
      <c r="JOG8" s="216"/>
      <c r="JOH8" s="216"/>
      <c r="JOI8" s="216"/>
      <c r="JOJ8" s="216"/>
      <c r="JOK8" s="216"/>
      <c r="JOL8" s="216"/>
      <c r="JOM8" s="216"/>
      <c r="JON8" s="216"/>
      <c r="JOO8" s="216"/>
      <c r="JOP8" s="216"/>
      <c r="JOQ8" s="216"/>
      <c r="JOR8" s="216"/>
      <c r="JOS8" s="216"/>
      <c r="JOT8" s="216"/>
      <c r="JOU8" s="216"/>
      <c r="JOV8" s="216"/>
      <c r="JOW8" s="216"/>
      <c r="JOX8" s="216"/>
      <c r="JOY8" s="216"/>
      <c r="JOZ8" s="216"/>
      <c r="JPA8" s="216"/>
      <c r="JPB8" s="216"/>
      <c r="JPC8" s="216"/>
      <c r="JPD8" s="216"/>
      <c r="JPE8" s="216"/>
      <c r="JPF8" s="216"/>
      <c r="JPG8" s="216"/>
      <c r="JPH8" s="216"/>
      <c r="JPI8" s="216"/>
      <c r="JPJ8" s="216"/>
      <c r="JPK8" s="216"/>
      <c r="JPL8" s="216"/>
      <c r="JPM8" s="216"/>
      <c r="JPN8" s="216"/>
      <c r="JPO8" s="216"/>
      <c r="JPP8" s="216"/>
      <c r="JPQ8" s="216"/>
      <c r="JPR8" s="216"/>
      <c r="JPS8" s="216"/>
      <c r="JPT8" s="216"/>
      <c r="JPU8" s="216"/>
      <c r="JPV8" s="216"/>
      <c r="JPW8" s="216"/>
      <c r="JPX8" s="216"/>
      <c r="JPY8" s="216"/>
      <c r="JPZ8" s="216"/>
      <c r="JQA8" s="216"/>
      <c r="JQB8" s="216"/>
      <c r="JQC8" s="216"/>
      <c r="JQD8" s="216"/>
      <c r="JQE8" s="216"/>
      <c r="JQF8" s="216"/>
      <c r="JQG8" s="216"/>
      <c r="JQH8" s="216"/>
      <c r="JQI8" s="216"/>
      <c r="JQJ8" s="216"/>
      <c r="JQK8" s="216"/>
      <c r="JQL8" s="216"/>
      <c r="JQM8" s="216"/>
      <c r="JQN8" s="216"/>
      <c r="JQO8" s="216"/>
      <c r="JQP8" s="216"/>
      <c r="JQQ8" s="216"/>
      <c r="JQR8" s="216"/>
      <c r="JQS8" s="216"/>
      <c r="JQT8" s="216"/>
      <c r="JQU8" s="216"/>
      <c r="JQV8" s="216"/>
      <c r="JQW8" s="216"/>
      <c r="JQX8" s="216"/>
      <c r="JQY8" s="216"/>
      <c r="JQZ8" s="216"/>
      <c r="JRA8" s="216"/>
      <c r="JRB8" s="216"/>
      <c r="JRC8" s="216"/>
      <c r="JRD8" s="216"/>
      <c r="JRE8" s="216"/>
      <c r="JRF8" s="216"/>
      <c r="JRG8" s="216"/>
      <c r="JRH8" s="216"/>
      <c r="JRI8" s="216"/>
      <c r="JRJ8" s="216"/>
      <c r="JRK8" s="216"/>
      <c r="JRL8" s="216"/>
      <c r="JRM8" s="216"/>
      <c r="JRN8" s="216"/>
      <c r="JRO8" s="216"/>
      <c r="JRP8" s="216"/>
      <c r="JRQ8" s="216"/>
      <c r="JRR8" s="216"/>
      <c r="JRS8" s="216"/>
      <c r="JRT8" s="216"/>
      <c r="JRU8" s="216"/>
      <c r="JRV8" s="216"/>
      <c r="JRW8" s="216"/>
      <c r="JRX8" s="216"/>
      <c r="JRY8" s="216"/>
      <c r="JRZ8" s="216"/>
      <c r="JSA8" s="216"/>
      <c r="JSB8" s="216"/>
      <c r="JSC8" s="216"/>
      <c r="JSD8" s="216"/>
      <c r="JSE8" s="216"/>
      <c r="JSF8" s="216"/>
      <c r="JSG8" s="216"/>
      <c r="JSH8" s="216"/>
      <c r="JSI8" s="216"/>
      <c r="JSJ8" s="216"/>
      <c r="JSK8" s="216"/>
      <c r="JSL8" s="216"/>
      <c r="JSM8" s="216"/>
      <c r="JSN8" s="216"/>
      <c r="JSO8" s="216"/>
      <c r="JSP8" s="216"/>
      <c r="JSQ8" s="216"/>
      <c r="JSR8" s="216"/>
      <c r="JSS8" s="216"/>
      <c r="JST8" s="216"/>
      <c r="JSU8" s="216"/>
      <c r="JSV8" s="216"/>
      <c r="JSW8" s="216"/>
      <c r="JSX8" s="216"/>
      <c r="JSY8" s="216"/>
      <c r="JSZ8" s="216"/>
      <c r="JTA8" s="216"/>
      <c r="JTB8" s="216"/>
      <c r="JTC8" s="216"/>
      <c r="JTD8" s="216"/>
      <c r="JTE8" s="216"/>
      <c r="JTF8" s="216"/>
      <c r="JTG8" s="216"/>
      <c r="JTH8" s="216"/>
      <c r="JTI8" s="216"/>
      <c r="JTJ8" s="216"/>
      <c r="JTK8" s="216"/>
      <c r="JTL8" s="216"/>
      <c r="JTM8" s="216"/>
      <c r="JTN8" s="216"/>
      <c r="JTO8" s="216"/>
      <c r="JTP8" s="216"/>
      <c r="JTQ8" s="216"/>
      <c r="JTR8" s="216"/>
      <c r="JTS8" s="216"/>
      <c r="JTT8" s="216"/>
      <c r="JTU8" s="216"/>
      <c r="JTV8" s="216"/>
      <c r="JTW8" s="216"/>
      <c r="JTX8" s="216"/>
      <c r="JTY8" s="216"/>
      <c r="JTZ8" s="216"/>
      <c r="JUA8" s="216"/>
      <c r="JUB8" s="216"/>
      <c r="JUC8" s="216"/>
      <c r="JUD8" s="216"/>
      <c r="JUE8" s="216"/>
      <c r="JUF8" s="216"/>
      <c r="JUG8" s="216"/>
      <c r="JUH8" s="216"/>
      <c r="JUI8" s="216"/>
      <c r="JUJ8" s="216"/>
      <c r="JUK8" s="216"/>
      <c r="JUL8" s="216"/>
      <c r="JUM8" s="216"/>
      <c r="JUN8" s="216"/>
      <c r="JUO8" s="216"/>
      <c r="JUP8" s="216"/>
      <c r="JUQ8" s="216"/>
      <c r="JUR8" s="216"/>
      <c r="JUS8" s="216"/>
      <c r="JUT8" s="216"/>
      <c r="JUU8" s="216"/>
      <c r="JUV8" s="216"/>
      <c r="JUW8" s="216"/>
      <c r="JUX8" s="216"/>
      <c r="JUY8" s="216"/>
      <c r="JUZ8" s="216"/>
      <c r="JVA8" s="216"/>
      <c r="JVB8" s="216"/>
      <c r="JVC8" s="216"/>
      <c r="JVD8" s="216"/>
      <c r="JVE8" s="216"/>
      <c r="JVF8" s="216"/>
      <c r="JVG8" s="216"/>
      <c r="JVH8" s="216"/>
      <c r="JVI8" s="216"/>
      <c r="JVJ8" s="216"/>
      <c r="JVK8" s="216"/>
      <c r="JVL8" s="216"/>
      <c r="JVM8" s="216"/>
      <c r="JVN8" s="216"/>
      <c r="JVO8" s="216"/>
      <c r="JVP8" s="216"/>
      <c r="JVQ8" s="216"/>
      <c r="JVR8" s="216"/>
      <c r="JVS8" s="216"/>
      <c r="JVT8" s="216"/>
      <c r="JVU8" s="216"/>
      <c r="JVV8" s="216"/>
      <c r="JVW8" s="216"/>
      <c r="JVX8" s="216"/>
      <c r="JVY8" s="216"/>
      <c r="JVZ8" s="216"/>
      <c r="JWA8" s="216"/>
      <c r="JWB8" s="216"/>
      <c r="JWC8" s="216"/>
      <c r="JWD8" s="216"/>
      <c r="JWE8" s="216"/>
      <c r="JWF8" s="216"/>
      <c r="JWG8" s="216"/>
      <c r="JWH8" s="216"/>
      <c r="JWI8" s="216"/>
      <c r="JWJ8" s="216"/>
      <c r="JWK8" s="216"/>
      <c r="JWL8" s="216"/>
      <c r="JWM8" s="216"/>
      <c r="JWN8" s="216"/>
      <c r="JWO8" s="216"/>
      <c r="JWP8" s="216"/>
      <c r="JWQ8" s="216"/>
      <c r="JWR8" s="216"/>
      <c r="JWS8" s="216"/>
      <c r="JWT8" s="216"/>
      <c r="JWU8" s="216"/>
      <c r="JWV8" s="216"/>
      <c r="JWW8" s="216"/>
      <c r="JWX8" s="216"/>
      <c r="JWY8" s="216"/>
      <c r="JWZ8" s="216"/>
      <c r="JXA8" s="216"/>
      <c r="JXB8" s="216"/>
      <c r="JXC8" s="216"/>
      <c r="JXD8" s="216"/>
      <c r="JXE8" s="216"/>
      <c r="JXF8" s="216"/>
      <c r="JXG8" s="216"/>
      <c r="JXH8" s="216"/>
      <c r="JXI8" s="216"/>
      <c r="JXJ8" s="216"/>
      <c r="JXK8" s="216"/>
      <c r="JXL8" s="216"/>
      <c r="JXM8" s="216"/>
      <c r="JXN8" s="216"/>
      <c r="JXO8" s="216"/>
      <c r="JXP8" s="216"/>
      <c r="JXQ8" s="216"/>
      <c r="JXR8" s="216"/>
      <c r="JXS8" s="216"/>
      <c r="JXT8" s="216"/>
      <c r="JXU8" s="216"/>
      <c r="JXV8" s="216"/>
      <c r="JXW8" s="216"/>
      <c r="JXX8" s="216"/>
      <c r="JXY8" s="216"/>
      <c r="JXZ8" s="216"/>
      <c r="JYA8" s="216"/>
      <c r="JYB8" s="216"/>
      <c r="JYC8" s="216"/>
      <c r="JYD8" s="216"/>
      <c r="JYE8" s="216"/>
      <c r="JYF8" s="216"/>
      <c r="JYG8" s="216"/>
      <c r="JYH8" s="216"/>
      <c r="JYI8" s="216"/>
      <c r="JYJ8" s="216"/>
      <c r="JYK8" s="216"/>
      <c r="JYL8" s="216"/>
      <c r="JYM8" s="216"/>
      <c r="JYN8" s="216"/>
      <c r="JYO8" s="216"/>
      <c r="JYP8" s="216"/>
      <c r="JYQ8" s="216"/>
      <c r="JYR8" s="216"/>
      <c r="JYS8" s="216"/>
      <c r="JYT8" s="216"/>
      <c r="JYU8" s="216"/>
      <c r="JYV8" s="216"/>
      <c r="JYW8" s="216"/>
      <c r="JYX8" s="216"/>
      <c r="JYY8" s="216"/>
      <c r="JYZ8" s="216"/>
      <c r="JZA8" s="216"/>
      <c r="JZB8" s="216"/>
      <c r="JZC8" s="216"/>
      <c r="JZD8" s="216"/>
      <c r="JZE8" s="216"/>
      <c r="JZF8" s="216"/>
      <c r="JZG8" s="216"/>
      <c r="JZH8" s="216"/>
      <c r="JZI8" s="216"/>
      <c r="JZJ8" s="216"/>
      <c r="JZK8" s="216"/>
      <c r="JZL8" s="216"/>
      <c r="JZM8" s="216"/>
      <c r="JZN8" s="216"/>
      <c r="JZO8" s="216"/>
      <c r="JZP8" s="216"/>
      <c r="JZQ8" s="216"/>
      <c r="JZR8" s="216"/>
      <c r="JZS8" s="216"/>
      <c r="JZT8" s="216"/>
      <c r="JZU8" s="216"/>
      <c r="JZV8" s="216"/>
      <c r="JZW8" s="216"/>
      <c r="JZX8" s="216"/>
      <c r="JZY8" s="216"/>
      <c r="JZZ8" s="216"/>
      <c r="KAA8" s="216"/>
      <c r="KAB8" s="216"/>
      <c r="KAC8" s="216"/>
      <c r="KAD8" s="216"/>
      <c r="KAE8" s="216"/>
      <c r="KAF8" s="216"/>
      <c r="KAG8" s="216"/>
      <c r="KAH8" s="216"/>
      <c r="KAI8" s="216"/>
      <c r="KAJ8" s="216"/>
      <c r="KAK8" s="216"/>
      <c r="KAL8" s="216"/>
      <c r="KAM8" s="216"/>
      <c r="KAN8" s="216"/>
      <c r="KAO8" s="216"/>
      <c r="KAP8" s="216"/>
      <c r="KAQ8" s="216"/>
      <c r="KAR8" s="216"/>
      <c r="KAS8" s="216"/>
      <c r="KAT8" s="216"/>
      <c r="KAU8" s="216"/>
      <c r="KAV8" s="216"/>
      <c r="KAW8" s="216"/>
      <c r="KAX8" s="216"/>
      <c r="KAY8" s="216"/>
      <c r="KAZ8" s="216"/>
      <c r="KBA8" s="216"/>
      <c r="KBB8" s="216"/>
      <c r="KBC8" s="216"/>
      <c r="KBD8" s="216"/>
      <c r="KBE8" s="216"/>
      <c r="KBF8" s="216"/>
      <c r="KBG8" s="216"/>
      <c r="KBH8" s="216"/>
      <c r="KBI8" s="216"/>
      <c r="KBJ8" s="216"/>
      <c r="KBK8" s="216"/>
      <c r="KBL8" s="216"/>
      <c r="KBM8" s="216"/>
      <c r="KBN8" s="216"/>
      <c r="KBO8" s="216"/>
      <c r="KBP8" s="216"/>
      <c r="KBQ8" s="216"/>
      <c r="KBR8" s="216"/>
      <c r="KBS8" s="216"/>
      <c r="KBT8" s="216"/>
      <c r="KBU8" s="216"/>
      <c r="KBV8" s="216"/>
      <c r="KBW8" s="216"/>
      <c r="KBX8" s="216"/>
      <c r="KBY8" s="216"/>
      <c r="KBZ8" s="216"/>
      <c r="KCA8" s="216"/>
      <c r="KCB8" s="216"/>
      <c r="KCC8" s="216"/>
      <c r="KCD8" s="216"/>
      <c r="KCE8" s="216"/>
      <c r="KCF8" s="216"/>
      <c r="KCG8" s="216"/>
      <c r="KCH8" s="216"/>
      <c r="KCI8" s="216"/>
      <c r="KCJ8" s="216"/>
      <c r="KCK8" s="216"/>
      <c r="KCL8" s="216"/>
      <c r="KCM8" s="216"/>
      <c r="KCN8" s="216"/>
      <c r="KCO8" s="216"/>
      <c r="KCP8" s="216"/>
      <c r="KCQ8" s="216"/>
      <c r="KCR8" s="216"/>
      <c r="KCS8" s="216"/>
      <c r="KCT8" s="216"/>
      <c r="KCU8" s="216"/>
      <c r="KCV8" s="216"/>
      <c r="KCW8" s="216"/>
      <c r="KCX8" s="216"/>
      <c r="KCY8" s="216"/>
      <c r="KCZ8" s="216"/>
      <c r="KDA8" s="216"/>
      <c r="KDB8" s="216"/>
      <c r="KDC8" s="216"/>
      <c r="KDD8" s="216"/>
      <c r="KDE8" s="216"/>
      <c r="KDF8" s="216"/>
      <c r="KDG8" s="216"/>
      <c r="KDH8" s="216"/>
      <c r="KDI8" s="216"/>
      <c r="KDJ8" s="216"/>
      <c r="KDK8" s="216"/>
      <c r="KDL8" s="216"/>
      <c r="KDM8" s="216"/>
      <c r="KDN8" s="216"/>
      <c r="KDO8" s="216"/>
      <c r="KDP8" s="216"/>
      <c r="KDQ8" s="216"/>
      <c r="KDR8" s="216"/>
      <c r="KDS8" s="216"/>
      <c r="KDT8" s="216"/>
      <c r="KDU8" s="216"/>
      <c r="KDV8" s="216"/>
      <c r="KDW8" s="216"/>
      <c r="KDX8" s="216"/>
      <c r="KDY8" s="216"/>
      <c r="KDZ8" s="216"/>
      <c r="KEA8" s="216"/>
      <c r="KEB8" s="216"/>
      <c r="KEC8" s="216"/>
      <c r="KED8" s="216"/>
      <c r="KEE8" s="216"/>
      <c r="KEF8" s="216"/>
      <c r="KEG8" s="216"/>
      <c r="KEH8" s="216"/>
      <c r="KEI8" s="216"/>
      <c r="KEJ8" s="216"/>
      <c r="KEK8" s="216"/>
      <c r="KEL8" s="216"/>
      <c r="KEM8" s="216"/>
      <c r="KEN8" s="216"/>
      <c r="KEO8" s="216"/>
      <c r="KEP8" s="216"/>
      <c r="KEQ8" s="216"/>
      <c r="KER8" s="216"/>
      <c r="KES8" s="216"/>
      <c r="KET8" s="216"/>
      <c r="KEU8" s="216"/>
      <c r="KEV8" s="216"/>
      <c r="KEW8" s="216"/>
      <c r="KEX8" s="216"/>
      <c r="KEY8" s="216"/>
      <c r="KEZ8" s="216"/>
      <c r="KFA8" s="216"/>
      <c r="KFB8" s="216"/>
      <c r="KFC8" s="216"/>
      <c r="KFD8" s="216"/>
      <c r="KFE8" s="216"/>
      <c r="KFF8" s="216"/>
      <c r="KFG8" s="216"/>
      <c r="KFH8" s="216"/>
      <c r="KFI8" s="216"/>
      <c r="KFJ8" s="216"/>
      <c r="KFK8" s="216"/>
      <c r="KFL8" s="216"/>
      <c r="KFM8" s="216"/>
      <c r="KFN8" s="216"/>
      <c r="KFO8" s="216"/>
      <c r="KFP8" s="216"/>
      <c r="KFQ8" s="216"/>
      <c r="KFR8" s="216"/>
      <c r="KFS8" s="216"/>
      <c r="KFT8" s="216"/>
      <c r="KFU8" s="216"/>
      <c r="KFV8" s="216"/>
      <c r="KFW8" s="216"/>
      <c r="KFX8" s="216"/>
      <c r="KFY8" s="216"/>
      <c r="KFZ8" s="216"/>
      <c r="KGA8" s="216"/>
      <c r="KGB8" s="216"/>
      <c r="KGC8" s="216"/>
      <c r="KGD8" s="216"/>
      <c r="KGE8" s="216"/>
      <c r="KGF8" s="216"/>
      <c r="KGG8" s="216"/>
      <c r="KGH8" s="216"/>
      <c r="KGI8" s="216"/>
      <c r="KGJ8" s="216"/>
      <c r="KGK8" s="216"/>
      <c r="KGL8" s="216"/>
      <c r="KGM8" s="216"/>
      <c r="KGN8" s="216"/>
      <c r="KGO8" s="216"/>
      <c r="KGP8" s="216"/>
      <c r="KGQ8" s="216"/>
      <c r="KGR8" s="216"/>
      <c r="KGS8" s="216"/>
      <c r="KGT8" s="216"/>
      <c r="KGU8" s="216"/>
      <c r="KGV8" s="216"/>
      <c r="KGW8" s="216"/>
      <c r="KGX8" s="216"/>
      <c r="KGY8" s="216"/>
      <c r="KGZ8" s="216"/>
      <c r="KHA8" s="216"/>
      <c r="KHB8" s="216"/>
      <c r="KHC8" s="216"/>
      <c r="KHD8" s="216"/>
      <c r="KHE8" s="216"/>
      <c r="KHF8" s="216"/>
      <c r="KHG8" s="216"/>
      <c r="KHH8" s="216"/>
      <c r="KHI8" s="216"/>
      <c r="KHJ8" s="216"/>
      <c r="KHK8" s="216"/>
      <c r="KHL8" s="216"/>
      <c r="KHM8" s="216"/>
      <c r="KHN8" s="216"/>
      <c r="KHO8" s="216"/>
      <c r="KHP8" s="216"/>
      <c r="KHQ8" s="216"/>
      <c r="KHR8" s="216"/>
      <c r="KHS8" s="216"/>
      <c r="KHT8" s="216"/>
      <c r="KHU8" s="216"/>
      <c r="KHV8" s="216"/>
      <c r="KHW8" s="216"/>
      <c r="KHX8" s="216"/>
      <c r="KHY8" s="216"/>
      <c r="KHZ8" s="216"/>
      <c r="KIA8" s="216"/>
      <c r="KIB8" s="216"/>
      <c r="KIC8" s="216"/>
      <c r="KID8" s="216"/>
      <c r="KIE8" s="216"/>
      <c r="KIF8" s="216"/>
      <c r="KIG8" s="216"/>
      <c r="KIH8" s="216"/>
      <c r="KII8" s="216"/>
      <c r="KIJ8" s="216"/>
      <c r="KIK8" s="216"/>
      <c r="KIL8" s="216"/>
      <c r="KIM8" s="216"/>
      <c r="KIN8" s="216"/>
      <c r="KIO8" s="216"/>
      <c r="KIP8" s="216"/>
      <c r="KIQ8" s="216"/>
      <c r="KIR8" s="216"/>
      <c r="KIS8" s="216"/>
      <c r="KIT8" s="216"/>
      <c r="KIU8" s="216"/>
      <c r="KIV8" s="216"/>
      <c r="KIW8" s="216"/>
      <c r="KIX8" s="216"/>
      <c r="KIY8" s="216"/>
      <c r="KIZ8" s="216"/>
      <c r="KJA8" s="216"/>
      <c r="KJB8" s="216"/>
      <c r="KJC8" s="216"/>
      <c r="KJD8" s="216"/>
      <c r="KJE8" s="216"/>
      <c r="KJF8" s="216"/>
      <c r="KJG8" s="216"/>
      <c r="KJH8" s="216"/>
      <c r="KJI8" s="216"/>
      <c r="KJJ8" s="216"/>
      <c r="KJK8" s="216"/>
      <c r="KJL8" s="216"/>
      <c r="KJM8" s="216"/>
      <c r="KJN8" s="216"/>
      <c r="KJO8" s="216"/>
      <c r="KJP8" s="216"/>
      <c r="KJQ8" s="216"/>
      <c r="KJR8" s="216"/>
      <c r="KJS8" s="216"/>
      <c r="KJT8" s="216"/>
      <c r="KJU8" s="216"/>
      <c r="KJV8" s="216"/>
      <c r="KJW8" s="216"/>
      <c r="KJX8" s="216"/>
      <c r="KJY8" s="216"/>
      <c r="KJZ8" s="216"/>
      <c r="KKA8" s="216"/>
      <c r="KKB8" s="216"/>
      <c r="KKC8" s="216"/>
      <c r="KKD8" s="216"/>
      <c r="KKE8" s="216"/>
      <c r="KKF8" s="216"/>
      <c r="KKG8" s="216"/>
      <c r="KKH8" s="216"/>
      <c r="KKI8" s="216"/>
      <c r="KKJ8" s="216"/>
      <c r="KKK8" s="216"/>
      <c r="KKL8" s="216"/>
      <c r="KKM8" s="216"/>
      <c r="KKN8" s="216"/>
      <c r="KKO8" s="216"/>
      <c r="KKP8" s="216"/>
      <c r="KKQ8" s="216"/>
      <c r="KKR8" s="216"/>
      <c r="KKS8" s="216"/>
      <c r="KKT8" s="216"/>
      <c r="KKU8" s="216"/>
      <c r="KKV8" s="216"/>
      <c r="KKW8" s="216"/>
      <c r="KKX8" s="216"/>
      <c r="KKY8" s="216"/>
      <c r="KKZ8" s="216"/>
      <c r="KLA8" s="216"/>
      <c r="KLB8" s="216"/>
      <c r="KLC8" s="216"/>
      <c r="KLD8" s="216"/>
      <c r="KLE8" s="216"/>
      <c r="KLF8" s="216"/>
      <c r="KLG8" s="216"/>
      <c r="KLH8" s="216"/>
      <c r="KLI8" s="216"/>
      <c r="KLJ8" s="216"/>
      <c r="KLK8" s="216"/>
      <c r="KLL8" s="216"/>
      <c r="KLM8" s="216"/>
      <c r="KLN8" s="216"/>
      <c r="KLO8" s="216"/>
      <c r="KLP8" s="216"/>
      <c r="KLQ8" s="216"/>
      <c r="KLR8" s="216"/>
      <c r="KLS8" s="216"/>
      <c r="KLT8" s="216"/>
      <c r="KLU8" s="216"/>
      <c r="KLV8" s="216"/>
      <c r="KLW8" s="216"/>
      <c r="KLX8" s="216"/>
      <c r="KLY8" s="216"/>
      <c r="KLZ8" s="216"/>
      <c r="KMA8" s="216"/>
      <c r="KMB8" s="216"/>
      <c r="KMC8" s="216"/>
      <c r="KMD8" s="216"/>
      <c r="KME8" s="216"/>
      <c r="KMF8" s="216"/>
      <c r="KMG8" s="216"/>
      <c r="KMH8" s="216"/>
      <c r="KMI8" s="216"/>
      <c r="KMJ8" s="216"/>
      <c r="KMK8" s="216"/>
      <c r="KML8" s="216"/>
      <c r="KMM8" s="216"/>
      <c r="KMN8" s="216"/>
      <c r="KMO8" s="216"/>
      <c r="KMP8" s="216"/>
      <c r="KMQ8" s="216"/>
      <c r="KMR8" s="216"/>
      <c r="KMS8" s="216"/>
      <c r="KMT8" s="216"/>
      <c r="KMU8" s="216"/>
      <c r="KMV8" s="216"/>
      <c r="KMW8" s="216"/>
      <c r="KMX8" s="216"/>
      <c r="KMY8" s="216"/>
      <c r="KMZ8" s="216"/>
      <c r="KNA8" s="216"/>
      <c r="KNB8" s="216"/>
      <c r="KNC8" s="216"/>
      <c r="KND8" s="216"/>
      <c r="KNE8" s="216"/>
      <c r="KNF8" s="216"/>
      <c r="KNG8" s="216"/>
      <c r="KNH8" s="216"/>
      <c r="KNI8" s="216"/>
      <c r="KNJ8" s="216"/>
      <c r="KNK8" s="216"/>
      <c r="KNL8" s="216"/>
      <c r="KNM8" s="216"/>
      <c r="KNN8" s="216"/>
      <c r="KNO8" s="216"/>
      <c r="KNP8" s="216"/>
      <c r="KNQ8" s="216"/>
      <c r="KNR8" s="216"/>
      <c r="KNS8" s="216"/>
      <c r="KNT8" s="216"/>
      <c r="KNU8" s="216"/>
      <c r="KNV8" s="216"/>
      <c r="KNW8" s="216"/>
      <c r="KNX8" s="216"/>
      <c r="KNY8" s="216"/>
      <c r="KNZ8" s="216"/>
      <c r="KOA8" s="216"/>
      <c r="KOB8" s="216"/>
      <c r="KOC8" s="216"/>
      <c r="KOD8" s="216"/>
      <c r="KOE8" s="216"/>
      <c r="KOF8" s="216"/>
      <c r="KOG8" s="216"/>
      <c r="KOH8" s="216"/>
      <c r="KOI8" s="216"/>
      <c r="KOJ8" s="216"/>
      <c r="KOK8" s="216"/>
      <c r="KOL8" s="216"/>
      <c r="KOM8" s="216"/>
      <c r="KON8" s="216"/>
      <c r="KOO8" s="216"/>
      <c r="KOP8" s="216"/>
      <c r="KOQ8" s="216"/>
      <c r="KOR8" s="216"/>
      <c r="KOS8" s="216"/>
      <c r="KOT8" s="216"/>
      <c r="KOU8" s="216"/>
      <c r="KOV8" s="216"/>
      <c r="KOW8" s="216"/>
      <c r="KOX8" s="216"/>
      <c r="KOY8" s="216"/>
      <c r="KOZ8" s="216"/>
      <c r="KPA8" s="216"/>
      <c r="KPB8" s="216"/>
      <c r="KPC8" s="216"/>
      <c r="KPD8" s="216"/>
      <c r="KPE8" s="216"/>
      <c r="KPF8" s="216"/>
      <c r="KPG8" s="216"/>
      <c r="KPH8" s="216"/>
      <c r="KPI8" s="216"/>
      <c r="KPJ8" s="216"/>
      <c r="KPK8" s="216"/>
      <c r="KPL8" s="216"/>
      <c r="KPM8" s="216"/>
      <c r="KPN8" s="216"/>
      <c r="KPO8" s="216"/>
      <c r="KPP8" s="216"/>
      <c r="KPQ8" s="216"/>
      <c r="KPR8" s="216"/>
      <c r="KPS8" s="216"/>
      <c r="KPT8" s="216"/>
      <c r="KPU8" s="216"/>
      <c r="KPV8" s="216"/>
      <c r="KPW8" s="216"/>
      <c r="KPX8" s="216"/>
      <c r="KPY8" s="216"/>
      <c r="KPZ8" s="216"/>
      <c r="KQA8" s="216"/>
      <c r="KQB8" s="216"/>
      <c r="KQC8" s="216"/>
      <c r="KQD8" s="216"/>
      <c r="KQE8" s="216"/>
      <c r="KQF8" s="216"/>
      <c r="KQG8" s="216"/>
      <c r="KQH8" s="216"/>
      <c r="KQI8" s="216"/>
      <c r="KQJ8" s="216"/>
      <c r="KQK8" s="216"/>
      <c r="KQL8" s="216"/>
      <c r="KQM8" s="216"/>
      <c r="KQN8" s="216"/>
      <c r="KQO8" s="216"/>
      <c r="KQP8" s="216"/>
      <c r="KQQ8" s="216"/>
      <c r="KQR8" s="216"/>
      <c r="KQS8" s="216"/>
      <c r="KQT8" s="216"/>
      <c r="KQU8" s="216"/>
      <c r="KQV8" s="216"/>
      <c r="KQW8" s="216"/>
      <c r="KQX8" s="216"/>
      <c r="KQY8" s="216"/>
      <c r="KQZ8" s="216"/>
      <c r="KRA8" s="216"/>
      <c r="KRB8" s="216"/>
      <c r="KRC8" s="216"/>
      <c r="KRD8" s="216"/>
      <c r="KRE8" s="216"/>
      <c r="KRF8" s="216"/>
      <c r="KRG8" s="216"/>
      <c r="KRH8" s="216"/>
      <c r="KRI8" s="216"/>
      <c r="KRJ8" s="216"/>
      <c r="KRK8" s="216"/>
      <c r="KRL8" s="216"/>
      <c r="KRM8" s="216"/>
      <c r="KRN8" s="216"/>
      <c r="KRO8" s="216"/>
      <c r="KRP8" s="216"/>
      <c r="KRQ8" s="216"/>
      <c r="KRR8" s="216"/>
      <c r="KRS8" s="216"/>
      <c r="KRT8" s="216"/>
      <c r="KRU8" s="216"/>
      <c r="KRV8" s="216"/>
      <c r="KRW8" s="216"/>
      <c r="KRX8" s="216"/>
      <c r="KRY8" s="216"/>
      <c r="KRZ8" s="216"/>
      <c r="KSA8" s="216"/>
      <c r="KSB8" s="216"/>
      <c r="KSC8" s="216"/>
      <c r="KSD8" s="216"/>
      <c r="KSE8" s="216"/>
      <c r="KSF8" s="216"/>
      <c r="KSG8" s="216"/>
      <c r="KSH8" s="216"/>
      <c r="KSI8" s="216"/>
      <c r="KSJ8" s="216"/>
      <c r="KSK8" s="216"/>
      <c r="KSL8" s="216"/>
      <c r="KSM8" s="216"/>
      <c r="KSN8" s="216"/>
      <c r="KSO8" s="216"/>
      <c r="KSP8" s="216"/>
      <c r="KSQ8" s="216"/>
      <c r="KSR8" s="216"/>
      <c r="KSS8" s="216"/>
      <c r="KST8" s="216"/>
      <c r="KSU8" s="216"/>
      <c r="KSV8" s="216"/>
      <c r="KSW8" s="216"/>
      <c r="KSX8" s="216"/>
      <c r="KSY8" s="216"/>
      <c r="KSZ8" s="216"/>
      <c r="KTA8" s="216"/>
      <c r="KTB8" s="216"/>
      <c r="KTC8" s="216"/>
      <c r="KTD8" s="216"/>
      <c r="KTE8" s="216"/>
      <c r="KTF8" s="216"/>
      <c r="KTG8" s="216"/>
      <c r="KTH8" s="216"/>
      <c r="KTI8" s="216"/>
      <c r="KTJ8" s="216"/>
      <c r="KTK8" s="216"/>
      <c r="KTL8" s="216"/>
      <c r="KTM8" s="216"/>
      <c r="KTN8" s="216"/>
      <c r="KTO8" s="216"/>
      <c r="KTP8" s="216"/>
      <c r="KTQ8" s="216"/>
      <c r="KTR8" s="216"/>
      <c r="KTS8" s="216"/>
      <c r="KTT8" s="216"/>
      <c r="KTU8" s="216"/>
      <c r="KTV8" s="216"/>
      <c r="KTW8" s="216"/>
      <c r="KTX8" s="216"/>
      <c r="KTY8" s="216"/>
      <c r="KTZ8" s="216"/>
      <c r="KUA8" s="216"/>
      <c r="KUB8" s="216"/>
      <c r="KUC8" s="216"/>
      <c r="KUD8" s="216"/>
      <c r="KUE8" s="216"/>
      <c r="KUF8" s="216"/>
      <c r="KUG8" s="216"/>
      <c r="KUH8" s="216"/>
      <c r="KUI8" s="216"/>
      <c r="KUJ8" s="216"/>
      <c r="KUK8" s="216"/>
      <c r="KUL8" s="216"/>
      <c r="KUM8" s="216"/>
      <c r="KUN8" s="216"/>
      <c r="KUO8" s="216"/>
      <c r="KUP8" s="216"/>
      <c r="KUQ8" s="216"/>
      <c r="KUR8" s="216"/>
      <c r="KUS8" s="216"/>
      <c r="KUT8" s="216"/>
      <c r="KUU8" s="216"/>
      <c r="KUV8" s="216"/>
      <c r="KUW8" s="216"/>
      <c r="KUX8" s="216"/>
      <c r="KUY8" s="216"/>
      <c r="KUZ8" s="216"/>
      <c r="KVA8" s="216"/>
      <c r="KVB8" s="216"/>
      <c r="KVC8" s="216"/>
      <c r="KVD8" s="216"/>
      <c r="KVE8" s="216"/>
      <c r="KVF8" s="216"/>
      <c r="KVG8" s="216"/>
      <c r="KVH8" s="216"/>
      <c r="KVI8" s="216"/>
      <c r="KVJ8" s="216"/>
      <c r="KVK8" s="216"/>
      <c r="KVL8" s="216"/>
      <c r="KVM8" s="216"/>
      <c r="KVN8" s="216"/>
      <c r="KVO8" s="216"/>
      <c r="KVP8" s="216"/>
      <c r="KVQ8" s="216"/>
      <c r="KVR8" s="216"/>
      <c r="KVS8" s="216"/>
      <c r="KVT8" s="216"/>
      <c r="KVU8" s="216"/>
      <c r="KVV8" s="216"/>
      <c r="KVW8" s="216"/>
      <c r="KVX8" s="216"/>
      <c r="KVY8" s="216"/>
      <c r="KVZ8" s="216"/>
      <c r="KWA8" s="216"/>
      <c r="KWB8" s="216"/>
      <c r="KWC8" s="216"/>
      <c r="KWD8" s="216"/>
      <c r="KWE8" s="216"/>
      <c r="KWF8" s="216"/>
      <c r="KWG8" s="216"/>
      <c r="KWH8" s="216"/>
      <c r="KWI8" s="216"/>
      <c r="KWJ8" s="216"/>
      <c r="KWK8" s="216"/>
      <c r="KWL8" s="216"/>
      <c r="KWM8" s="216"/>
      <c r="KWN8" s="216"/>
      <c r="KWO8" s="216"/>
      <c r="KWP8" s="216"/>
      <c r="KWQ8" s="216"/>
      <c r="KWR8" s="216"/>
      <c r="KWS8" s="216"/>
      <c r="KWT8" s="216"/>
      <c r="KWU8" s="216"/>
      <c r="KWV8" s="216"/>
      <c r="KWW8" s="216"/>
      <c r="KWX8" s="216"/>
      <c r="KWY8" s="216"/>
      <c r="KWZ8" s="216"/>
      <c r="KXA8" s="216"/>
      <c r="KXB8" s="216"/>
      <c r="KXC8" s="216"/>
      <c r="KXD8" s="216"/>
      <c r="KXE8" s="216"/>
      <c r="KXF8" s="216"/>
      <c r="KXG8" s="216"/>
      <c r="KXH8" s="216"/>
      <c r="KXI8" s="216"/>
      <c r="KXJ8" s="216"/>
      <c r="KXK8" s="216"/>
      <c r="KXL8" s="216"/>
      <c r="KXM8" s="216"/>
      <c r="KXN8" s="216"/>
      <c r="KXO8" s="216"/>
      <c r="KXP8" s="216"/>
      <c r="KXQ8" s="216"/>
      <c r="KXR8" s="216"/>
      <c r="KXS8" s="216"/>
      <c r="KXT8" s="216"/>
      <c r="KXU8" s="216"/>
      <c r="KXV8" s="216"/>
      <c r="KXW8" s="216"/>
      <c r="KXX8" s="216"/>
      <c r="KXY8" s="216"/>
      <c r="KXZ8" s="216"/>
      <c r="KYA8" s="216"/>
      <c r="KYB8" s="216"/>
      <c r="KYC8" s="216"/>
      <c r="KYD8" s="216"/>
      <c r="KYE8" s="216"/>
      <c r="KYF8" s="216"/>
      <c r="KYG8" s="216"/>
      <c r="KYH8" s="216"/>
      <c r="KYI8" s="216"/>
      <c r="KYJ8" s="216"/>
      <c r="KYK8" s="216"/>
      <c r="KYL8" s="216"/>
      <c r="KYM8" s="216"/>
      <c r="KYN8" s="216"/>
      <c r="KYO8" s="216"/>
      <c r="KYP8" s="216"/>
      <c r="KYQ8" s="216"/>
      <c r="KYR8" s="216"/>
      <c r="KYS8" s="216"/>
      <c r="KYT8" s="216"/>
      <c r="KYU8" s="216"/>
      <c r="KYV8" s="216"/>
      <c r="KYW8" s="216"/>
      <c r="KYX8" s="216"/>
      <c r="KYY8" s="216"/>
      <c r="KYZ8" s="216"/>
      <c r="KZA8" s="216"/>
      <c r="KZB8" s="216"/>
      <c r="KZC8" s="216"/>
      <c r="KZD8" s="216"/>
      <c r="KZE8" s="216"/>
      <c r="KZF8" s="216"/>
      <c r="KZG8" s="216"/>
      <c r="KZH8" s="216"/>
      <c r="KZI8" s="216"/>
      <c r="KZJ8" s="216"/>
      <c r="KZK8" s="216"/>
      <c r="KZL8" s="216"/>
      <c r="KZM8" s="216"/>
      <c r="KZN8" s="216"/>
      <c r="KZO8" s="216"/>
      <c r="KZP8" s="216"/>
      <c r="KZQ8" s="216"/>
      <c r="KZR8" s="216"/>
      <c r="KZS8" s="216"/>
      <c r="KZT8" s="216"/>
      <c r="KZU8" s="216"/>
      <c r="KZV8" s="216"/>
      <c r="KZW8" s="216"/>
      <c r="KZX8" s="216"/>
      <c r="KZY8" s="216"/>
      <c r="KZZ8" s="216"/>
      <c r="LAA8" s="216"/>
      <c r="LAB8" s="216"/>
      <c r="LAC8" s="216"/>
      <c r="LAD8" s="216"/>
      <c r="LAE8" s="216"/>
      <c r="LAF8" s="216"/>
      <c r="LAG8" s="216"/>
      <c r="LAH8" s="216"/>
      <c r="LAI8" s="216"/>
      <c r="LAJ8" s="216"/>
      <c r="LAK8" s="216"/>
      <c r="LAL8" s="216"/>
      <c r="LAM8" s="216"/>
      <c r="LAN8" s="216"/>
      <c r="LAO8" s="216"/>
      <c r="LAP8" s="216"/>
      <c r="LAQ8" s="216"/>
      <c r="LAR8" s="216"/>
      <c r="LAS8" s="216"/>
      <c r="LAT8" s="216"/>
      <c r="LAU8" s="216"/>
      <c r="LAV8" s="216"/>
      <c r="LAW8" s="216"/>
      <c r="LAX8" s="216"/>
      <c r="LAY8" s="216"/>
      <c r="LAZ8" s="216"/>
      <c r="LBA8" s="216"/>
      <c r="LBB8" s="216"/>
      <c r="LBC8" s="216"/>
      <c r="LBD8" s="216"/>
      <c r="LBE8" s="216"/>
      <c r="LBF8" s="216"/>
      <c r="LBG8" s="216"/>
      <c r="LBH8" s="216"/>
      <c r="LBI8" s="216"/>
      <c r="LBJ8" s="216"/>
      <c r="LBK8" s="216"/>
      <c r="LBL8" s="216"/>
      <c r="LBM8" s="216"/>
      <c r="LBN8" s="216"/>
      <c r="LBO8" s="216"/>
      <c r="LBP8" s="216"/>
      <c r="LBQ8" s="216"/>
      <c r="LBR8" s="216"/>
      <c r="LBS8" s="216"/>
      <c r="LBT8" s="216"/>
      <c r="LBU8" s="216"/>
      <c r="LBV8" s="216"/>
      <c r="LBW8" s="216"/>
      <c r="LBX8" s="216"/>
      <c r="LBY8" s="216"/>
      <c r="LBZ8" s="216"/>
      <c r="LCA8" s="216"/>
      <c r="LCB8" s="216"/>
      <c r="LCC8" s="216"/>
      <c r="LCD8" s="216"/>
      <c r="LCE8" s="216"/>
      <c r="LCF8" s="216"/>
      <c r="LCG8" s="216"/>
      <c r="LCH8" s="216"/>
      <c r="LCI8" s="216"/>
      <c r="LCJ8" s="216"/>
      <c r="LCK8" s="216"/>
      <c r="LCL8" s="216"/>
      <c r="LCM8" s="216"/>
      <c r="LCN8" s="216"/>
      <c r="LCO8" s="216"/>
      <c r="LCP8" s="216"/>
      <c r="LCQ8" s="216"/>
      <c r="LCR8" s="216"/>
      <c r="LCS8" s="216"/>
      <c r="LCT8" s="216"/>
      <c r="LCU8" s="216"/>
      <c r="LCV8" s="216"/>
      <c r="LCW8" s="216"/>
      <c r="LCX8" s="216"/>
      <c r="LCY8" s="216"/>
      <c r="LCZ8" s="216"/>
      <c r="LDA8" s="216"/>
      <c r="LDB8" s="216"/>
      <c r="LDC8" s="216"/>
      <c r="LDD8" s="216"/>
      <c r="LDE8" s="216"/>
      <c r="LDF8" s="216"/>
      <c r="LDG8" s="216"/>
      <c r="LDH8" s="216"/>
      <c r="LDI8" s="216"/>
      <c r="LDJ8" s="216"/>
      <c r="LDK8" s="216"/>
      <c r="LDL8" s="216"/>
      <c r="LDM8" s="216"/>
      <c r="LDN8" s="216"/>
      <c r="LDO8" s="216"/>
      <c r="LDP8" s="216"/>
      <c r="LDQ8" s="216"/>
      <c r="LDR8" s="216"/>
      <c r="LDS8" s="216"/>
      <c r="LDT8" s="216"/>
      <c r="LDU8" s="216"/>
      <c r="LDV8" s="216"/>
      <c r="LDW8" s="216"/>
      <c r="LDX8" s="216"/>
      <c r="LDY8" s="216"/>
      <c r="LDZ8" s="216"/>
      <c r="LEA8" s="216"/>
      <c r="LEB8" s="216"/>
      <c r="LEC8" s="216"/>
      <c r="LED8" s="216"/>
      <c r="LEE8" s="216"/>
      <c r="LEF8" s="216"/>
      <c r="LEG8" s="216"/>
      <c r="LEH8" s="216"/>
      <c r="LEI8" s="216"/>
      <c r="LEJ8" s="216"/>
      <c r="LEK8" s="216"/>
      <c r="LEL8" s="216"/>
      <c r="LEM8" s="216"/>
      <c r="LEN8" s="216"/>
      <c r="LEO8" s="216"/>
      <c r="LEP8" s="216"/>
      <c r="LEQ8" s="216"/>
      <c r="LER8" s="216"/>
      <c r="LES8" s="216"/>
      <c r="LET8" s="216"/>
      <c r="LEU8" s="216"/>
      <c r="LEV8" s="216"/>
      <c r="LEW8" s="216"/>
      <c r="LEX8" s="216"/>
      <c r="LEY8" s="216"/>
      <c r="LEZ8" s="216"/>
      <c r="LFA8" s="216"/>
      <c r="LFB8" s="216"/>
      <c r="LFC8" s="216"/>
      <c r="LFD8" s="216"/>
      <c r="LFE8" s="216"/>
      <c r="LFF8" s="216"/>
      <c r="LFG8" s="216"/>
      <c r="LFH8" s="216"/>
      <c r="LFI8" s="216"/>
      <c r="LFJ8" s="216"/>
      <c r="LFK8" s="216"/>
      <c r="LFL8" s="216"/>
      <c r="LFM8" s="216"/>
      <c r="LFN8" s="216"/>
      <c r="LFO8" s="216"/>
      <c r="LFP8" s="216"/>
      <c r="LFQ8" s="216"/>
      <c r="LFR8" s="216"/>
      <c r="LFS8" s="216"/>
      <c r="LFT8" s="216"/>
      <c r="LFU8" s="216"/>
      <c r="LFV8" s="216"/>
      <c r="LFW8" s="216"/>
      <c r="LFX8" s="216"/>
      <c r="LFY8" s="216"/>
      <c r="LFZ8" s="216"/>
      <c r="LGA8" s="216"/>
      <c r="LGB8" s="216"/>
      <c r="LGC8" s="216"/>
      <c r="LGD8" s="216"/>
      <c r="LGE8" s="216"/>
      <c r="LGF8" s="216"/>
      <c r="LGG8" s="216"/>
      <c r="LGH8" s="216"/>
      <c r="LGI8" s="216"/>
      <c r="LGJ8" s="216"/>
      <c r="LGK8" s="216"/>
      <c r="LGL8" s="216"/>
      <c r="LGM8" s="216"/>
      <c r="LGN8" s="216"/>
      <c r="LGO8" s="216"/>
      <c r="LGP8" s="216"/>
      <c r="LGQ8" s="216"/>
      <c r="LGR8" s="216"/>
      <c r="LGS8" s="216"/>
      <c r="LGT8" s="216"/>
      <c r="LGU8" s="216"/>
      <c r="LGV8" s="216"/>
      <c r="LGW8" s="216"/>
      <c r="LGX8" s="216"/>
      <c r="LGY8" s="216"/>
      <c r="LGZ8" s="216"/>
      <c r="LHA8" s="216"/>
      <c r="LHB8" s="216"/>
      <c r="LHC8" s="216"/>
      <c r="LHD8" s="216"/>
      <c r="LHE8" s="216"/>
      <c r="LHF8" s="216"/>
      <c r="LHG8" s="216"/>
      <c r="LHH8" s="216"/>
      <c r="LHI8" s="216"/>
      <c r="LHJ8" s="216"/>
      <c r="LHK8" s="216"/>
      <c r="LHL8" s="216"/>
      <c r="LHM8" s="216"/>
      <c r="LHN8" s="216"/>
      <c r="LHO8" s="216"/>
      <c r="LHP8" s="216"/>
      <c r="LHQ8" s="216"/>
      <c r="LHR8" s="216"/>
      <c r="LHS8" s="216"/>
      <c r="LHT8" s="216"/>
      <c r="LHU8" s="216"/>
      <c r="LHV8" s="216"/>
      <c r="LHW8" s="216"/>
      <c r="LHX8" s="216"/>
      <c r="LHY8" s="216"/>
      <c r="LHZ8" s="216"/>
      <c r="LIA8" s="216"/>
      <c r="LIB8" s="216"/>
      <c r="LIC8" s="216"/>
      <c r="LID8" s="216"/>
      <c r="LIE8" s="216"/>
      <c r="LIF8" s="216"/>
      <c r="LIG8" s="216"/>
      <c r="LIH8" s="216"/>
      <c r="LII8" s="216"/>
      <c r="LIJ8" s="216"/>
      <c r="LIK8" s="216"/>
      <c r="LIL8" s="216"/>
      <c r="LIM8" s="216"/>
      <c r="LIN8" s="216"/>
      <c r="LIO8" s="216"/>
      <c r="LIP8" s="216"/>
      <c r="LIQ8" s="216"/>
      <c r="LIR8" s="216"/>
      <c r="LIS8" s="216"/>
      <c r="LIT8" s="216"/>
      <c r="LIU8" s="216"/>
      <c r="LIV8" s="216"/>
      <c r="LIW8" s="216"/>
      <c r="LIX8" s="216"/>
      <c r="LIY8" s="216"/>
      <c r="LIZ8" s="216"/>
      <c r="LJA8" s="216"/>
      <c r="LJB8" s="216"/>
      <c r="LJC8" s="216"/>
      <c r="LJD8" s="216"/>
      <c r="LJE8" s="216"/>
      <c r="LJF8" s="216"/>
      <c r="LJG8" s="216"/>
      <c r="LJH8" s="216"/>
      <c r="LJI8" s="216"/>
      <c r="LJJ8" s="216"/>
      <c r="LJK8" s="216"/>
      <c r="LJL8" s="216"/>
      <c r="LJM8" s="216"/>
      <c r="LJN8" s="216"/>
      <c r="LJO8" s="216"/>
      <c r="LJP8" s="216"/>
      <c r="LJQ8" s="216"/>
      <c r="LJR8" s="216"/>
      <c r="LJS8" s="216"/>
      <c r="LJT8" s="216"/>
      <c r="LJU8" s="216"/>
      <c r="LJV8" s="216"/>
      <c r="LJW8" s="216"/>
      <c r="LJX8" s="216"/>
      <c r="LJY8" s="216"/>
      <c r="LJZ8" s="216"/>
      <c r="LKA8" s="216"/>
      <c r="LKB8" s="216"/>
      <c r="LKC8" s="216"/>
      <c r="LKD8" s="216"/>
      <c r="LKE8" s="216"/>
      <c r="LKF8" s="216"/>
      <c r="LKG8" s="216"/>
      <c r="LKH8" s="216"/>
      <c r="LKI8" s="216"/>
      <c r="LKJ8" s="216"/>
      <c r="LKK8" s="216"/>
      <c r="LKL8" s="216"/>
      <c r="LKM8" s="216"/>
      <c r="LKN8" s="216"/>
      <c r="LKO8" s="216"/>
      <c r="LKP8" s="216"/>
      <c r="LKQ8" s="216"/>
      <c r="LKR8" s="216"/>
      <c r="LKS8" s="216"/>
      <c r="LKT8" s="216"/>
      <c r="LKU8" s="216"/>
      <c r="LKV8" s="216"/>
      <c r="LKW8" s="216"/>
      <c r="LKX8" s="216"/>
      <c r="LKY8" s="216"/>
      <c r="LKZ8" s="216"/>
      <c r="LLA8" s="216"/>
      <c r="LLB8" s="216"/>
      <c r="LLC8" s="216"/>
      <c r="LLD8" s="216"/>
      <c r="LLE8" s="216"/>
      <c r="LLF8" s="216"/>
      <c r="LLG8" s="216"/>
      <c r="LLH8" s="216"/>
      <c r="LLI8" s="216"/>
      <c r="LLJ8" s="216"/>
      <c r="LLK8" s="216"/>
      <c r="LLL8" s="216"/>
      <c r="LLM8" s="216"/>
      <c r="LLN8" s="216"/>
      <c r="LLO8" s="216"/>
      <c r="LLP8" s="216"/>
      <c r="LLQ8" s="216"/>
      <c r="LLR8" s="216"/>
      <c r="LLS8" s="216"/>
      <c r="LLT8" s="216"/>
      <c r="LLU8" s="216"/>
      <c r="LLV8" s="216"/>
      <c r="LLW8" s="216"/>
      <c r="LLX8" s="216"/>
      <c r="LLY8" s="216"/>
      <c r="LLZ8" s="216"/>
      <c r="LMA8" s="216"/>
      <c r="LMB8" s="216"/>
      <c r="LMC8" s="216"/>
      <c r="LMD8" s="216"/>
      <c r="LME8" s="216"/>
      <c r="LMF8" s="216"/>
      <c r="LMG8" s="216"/>
      <c r="LMH8" s="216"/>
      <c r="LMI8" s="216"/>
      <c r="LMJ8" s="216"/>
      <c r="LMK8" s="216"/>
      <c r="LML8" s="216"/>
      <c r="LMM8" s="216"/>
      <c r="LMN8" s="216"/>
      <c r="LMO8" s="216"/>
      <c r="LMP8" s="216"/>
      <c r="LMQ8" s="216"/>
      <c r="LMR8" s="216"/>
      <c r="LMS8" s="216"/>
      <c r="LMT8" s="216"/>
      <c r="LMU8" s="216"/>
      <c r="LMV8" s="216"/>
      <c r="LMW8" s="216"/>
      <c r="LMX8" s="216"/>
      <c r="LMY8" s="216"/>
      <c r="LMZ8" s="216"/>
      <c r="LNA8" s="216"/>
      <c r="LNB8" s="216"/>
      <c r="LNC8" s="216"/>
      <c r="LND8" s="216"/>
      <c r="LNE8" s="216"/>
      <c r="LNF8" s="216"/>
      <c r="LNG8" s="216"/>
      <c r="LNH8" s="216"/>
      <c r="LNI8" s="216"/>
      <c r="LNJ8" s="216"/>
      <c r="LNK8" s="216"/>
      <c r="LNL8" s="216"/>
      <c r="LNM8" s="216"/>
      <c r="LNN8" s="216"/>
      <c r="LNO8" s="216"/>
      <c r="LNP8" s="216"/>
      <c r="LNQ8" s="216"/>
      <c r="LNR8" s="216"/>
      <c r="LNS8" s="216"/>
      <c r="LNT8" s="216"/>
      <c r="LNU8" s="216"/>
      <c r="LNV8" s="216"/>
      <c r="LNW8" s="216"/>
      <c r="LNX8" s="216"/>
      <c r="LNY8" s="216"/>
      <c r="LNZ8" s="216"/>
      <c r="LOA8" s="216"/>
      <c r="LOB8" s="216"/>
      <c r="LOC8" s="216"/>
      <c r="LOD8" s="216"/>
      <c r="LOE8" s="216"/>
      <c r="LOF8" s="216"/>
      <c r="LOG8" s="216"/>
      <c r="LOH8" s="216"/>
      <c r="LOI8" s="216"/>
      <c r="LOJ8" s="216"/>
      <c r="LOK8" s="216"/>
      <c r="LOL8" s="216"/>
      <c r="LOM8" s="216"/>
      <c r="LON8" s="216"/>
      <c r="LOO8" s="216"/>
      <c r="LOP8" s="216"/>
      <c r="LOQ8" s="216"/>
      <c r="LOR8" s="216"/>
      <c r="LOS8" s="216"/>
      <c r="LOT8" s="216"/>
      <c r="LOU8" s="216"/>
      <c r="LOV8" s="216"/>
      <c r="LOW8" s="216"/>
      <c r="LOX8" s="216"/>
      <c r="LOY8" s="216"/>
      <c r="LOZ8" s="216"/>
      <c r="LPA8" s="216"/>
      <c r="LPB8" s="216"/>
      <c r="LPC8" s="216"/>
      <c r="LPD8" s="216"/>
      <c r="LPE8" s="216"/>
      <c r="LPF8" s="216"/>
      <c r="LPG8" s="216"/>
      <c r="LPH8" s="216"/>
      <c r="LPI8" s="216"/>
      <c r="LPJ8" s="216"/>
      <c r="LPK8" s="216"/>
      <c r="LPL8" s="216"/>
      <c r="LPM8" s="216"/>
      <c r="LPN8" s="216"/>
      <c r="LPO8" s="216"/>
      <c r="LPP8" s="216"/>
      <c r="LPQ8" s="216"/>
      <c r="LPR8" s="216"/>
      <c r="LPS8" s="216"/>
      <c r="LPT8" s="216"/>
      <c r="LPU8" s="216"/>
      <c r="LPV8" s="216"/>
      <c r="LPW8" s="216"/>
      <c r="LPX8" s="216"/>
      <c r="LPY8" s="216"/>
      <c r="LPZ8" s="216"/>
      <c r="LQA8" s="216"/>
      <c r="LQB8" s="216"/>
      <c r="LQC8" s="216"/>
      <c r="LQD8" s="216"/>
      <c r="LQE8" s="216"/>
      <c r="LQF8" s="216"/>
      <c r="LQG8" s="216"/>
      <c r="LQH8" s="216"/>
      <c r="LQI8" s="216"/>
      <c r="LQJ8" s="216"/>
      <c r="LQK8" s="216"/>
      <c r="LQL8" s="216"/>
      <c r="LQM8" s="216"/>
      <c r="LQN8" s="216"/>
      <c r="LQO8" s="216"/>
      <c r="LQP8" s="216"/>
      <c r="LQQ8" s="216"/>
      <c r="LQR8" s="216"/>
      <c r="LQS8" s="216"/>
      <c r="LQT8" s="216"/>
      <c r="LQU8" s="216"/>
      <c r="LQV8" s="216"/>
      <c r="LQW8" s="216"/>
      <c r="LQX8" s="216"/>
      <c r="LQY8" s="216"/>
      <c r="LQZ8" s="216"/>
      <c r="LRA8" s="216"/>
      <c r="LRB8" s="216"/>
      <c r="LRC8" s="216"/>
      <c r="LRD8" s="216"/>
      <c r="LRE8" s="216"/>
      <c r="LRF8" s="216"/>
      <c r="LRG8" s="216"/>
      <c r="LRH8" s="216"/>
      <c r="LRI8" s="216"/>
      <c r="LRJ8" s="216"/>
      <c r="LRK8" s="216"/>
      <c r="LRL8" s="216"/>
      <c r="LRM8" s="216"/>
      <c r="LRN8" s="216"/>
      <c r="LRO8" s="216"/>
      <c r="LRP8" s="216"/>
      <c r="LRQ8" s="216"/>
      <c r="LRR8" s="216"/>
      <c r="LRS8" s="216"/>
      <c r="LRT8" s="216"/>
      <c r="LRU8" s="216"/>
      <c r="LRV8" s="216"/>
      <c r="LRW8" s="216"/>
      <c r="LRX8" s="216"/>
      <c r="LRY8" s="216"/>
      <c r="LRZ8" s="216"/>
      <c r="LSA8" s="216"/>
      <c r="LSB8" s="216"/>
      <c r="LSC8" s="216"/>
      <c r="LSD8" s="216"/>
      <c r="LSE8" s="216"/>
      <c r="LSF8" s="216"/>
      <c r="LSG8" s="216"/>
      <c r="LSH8" s="216"/>
      <c r="LSI8" s="216"/>
      <c r="LSJ8" s="216"/>
      <c r="LSK8" s="216"/>
      <c r="LSL8" s="216"/>
      <c r="LSM8" s="216"/>
      <c r="LSN8" s="216"/>
      <c r="LSO8" s="216"/>
      <c r="LSP8" s="216"/>
      <c r="LSQ8" s="216"/>
      <c r="LSR8" s="216"/>
      <c r="LSS8" s="216"/>
      <c r="LST8" s="216"/>
      <c r="LSU8" s="216"/>
      <c r="LSV8" s="216"/>
      <c r="LSW8" s="216"/>
      <c r="LSX8" s="216"/>
      <c r="LSY8" s="216"/>
      <c r="LSZ8" s="216"/>
      <c r="LTA8" s="216"/>
      <c r="LTB8" s="216"/>
      <c r="LTC8" s="216"/>
      <c r="LTD8" s="216"/>
      <c r="LTE8" s="216"/>
      <c r="LTF8" s="216"/>
      <c r="LTG8" s="216"/>
      <c r="LTH8" s="216"/>
      <c r="LTI8" s="216"/>
      <c r="LTJ8" s="216"/>
      <c r="LTK8" s="216"/>
      <c r="LTL8" s="216"/>
      <c r="LTM8" s="216"/>
      <c r="LTN8" s="216"/>
      <c r="LTO8" s="216"/>
      <c r="LTP8" s="216"/>
      <c r="LTQ8" s="216"/>
      <c r="LTR8" s="216"/>
      <c r="LTS8" s="216"/>
      <c r="LTT8" s="216"/>
      <c r="LTU8" s="216"/>
      <c r="LTV8" s="216"/>
      <c r="LTW8" s="216"/>
      <c r="LTX8" s="216"/>
      <c r="LTY8" s="216"/>
      <c r="LTZ8" s="216"/>
      <c r="LUA8" s="216"/>
      <c r="LUB8" s="216"/>
      <c r="LUC8" s="216"/>
      <c r="LUD8" s="216"/>
      <c r="LUE8" s="216"/>
      <c r="LUF8" s="216"/>
      <c r="LUG8" s="216"/>
      <c r="LUH8" s="216"/>
      <c r="LUI8" s="216"/>
      <c r="LUJ8" s="216"/>
      <c r="LUK8" s="216"/>
      <c r="LUL8" s="216"/>
      <c r="LUM8" s="216"/>
      <c r="LUN8" s="216"/>
      <c r="LUO8" s="216"/>
      <c r="LUP8" s="216"/>
      <c r="LUQ8" s="216"/>
      <c r="LUR8" s="216"/>
      <c r="LUS8" s="216"/>
      <c r="LUT8" s="216"/>
      <c r="LUU8" s="216"/>
      <c r="LUV8" s="216"/>
      <c r="LUW8" s="216"/>
      <c r="LUX8" s="216"/>
      <c r="LUY8" s="216"/>
      <c r="LUZ8" s="216"/>
      <c r="LVA8" s="216"/>
      <c r="LVB8" s="216"/>
      <c r="LVC8" s="216"/>
      <c r="LVD8" s="216"/>
      <c r="LVE8" s="216"/>
      <c r="LVF8" s="216"/>
      <c r="LVG8" s="216"/>
      <c r="LVH8" s="216"/>
      <c r="LVI8" s="216"/>
      <c r="LVJ8" s="216"/>
      <c r="LVK8" s="216"/>
      <c r="LVL8" s="216"/>
      <c r="LVM8" s="216"/>
      <c r="LVN8" s="216"/>
      <c r="LVO8" s="216"/>
      <c r="LVP8" s="216"/>
      <c r="LVQ8" s="216"/>
      <c r="LVR8" s="216"/>
      <c r="LVS8" s="216"/>
      <c r="LVT8" s="216"/>
      <c r="LVU8" s="216"/>
      <c r="LVV8" s="216"/>
      <c r="LVW8" s="216"/>
      <c r="LVX8" s="216"/>
      <c r="LVY8" s="216"/>
      <c r="LVZ8" s="216"/>
      <c r="LWA8" s="216"/>
      <c r="LWB8" s="216"/>
      <c r="LWC8" s="216"/>
      <c r="LWD8" s="216"/>
      <c r="LWE8" s="216"/>
      <c r="LWF8" s="216"/>
      <c r="LWG8" s="216"/>
      <c r="LWH8" s="216"/>
      <c r="LWI8" s="216"/>
      <c r="LWJ8" s="216"/>
      <c r="LWK8" s="216"/>
      <c r="LWL8" s="216"/>
      <c r="LWM8" s="216"/>
      <c r="LWN8" s="216"/>
      <c r="LWO8" s="216"/>
      <c r="LWP8" s="216"/>
      <c r="LWQ8" s="216"/>
      <c r="LWR8" s="216"/>
      <c r="LWS8" s="216"/>
      <c r="LWT8" s="216"/>
      <c r="LWU8" s="216"/>
      <c r="LWV8" s="216"/>
      <c r="LWW8" s="216"/>
      <c r="LWX8" s="216"/>
      <c r="LWY8" s="216"/>
      <c r="LWZ8" s="216"/>
      <c r="LXA8" s="216"/>
      <c r="LXB8" s="216"/>
      <c r="LXC8" s="216"/>
      <c r="LXD8" s="216"/>
      <c r="LXE8" s="216"/>
      <c r="LXF8" s="216"/>
      <c r="LXG8" s="216"/>
      <c r="LXH8" s="216"/>
      <c r="LXI8" s="216"/>
      <c r="LXJ8" s="216"/>
      <c r="LXK8" s="216"/>
      <c r="LXL8" s="216"/>
      <c r="LXM8" s="216"/>
      <c r="LXN8" s="216"/>
      <c r="LXO8" s="216"/>
      <c r="LXP8" s="216"/>
      <c r="LXQ8" s="216"/>
      <c r="LXR8" s="216"/>
      <c r="LXS8" s="216"/>
      <c r="LXT8" s="216"/>
      <c r="LXU8" s="216"/>
      <c r="LXV8" s="216"/>
      <c r="LXW8" s="216"/>
      <c r="LXX8" s="216"/>
      <c r="LXY8" s="216"/>
      <c r="LXZ8" s="216"/>
      <c r="LYA8" s="216"/>
      <c r="LYB8" s="216"/>
      <c r="LYC8" s="216"/>
      <c r="LYD8" s="216"/>
      <c r="LYE8" s="216"/>
      <c r="LYF8" s="216"/>
      <c r="LYG8" s="216"/>
      <c r="LYH8" s="216"/>
      <c r="LYI8" s="216"/>
      <c r="LYJ8" s="216"/>
      <c r="LYK8" s="216"/>
      <c r="LYL8" s="216"/>
      <c r="LYM8" s="216"/>
      <c r="LYN8" s="216"/>
      <c r="LYO8" s="216"/>
      <c r="LYP8" s="216"/>
      <c r="LYQ8" s="216"/>
      <c r="LYR8" s="216"/>
      <c r="LYS8" s="216"/>
      <c r="LYT8" s="216"/>
      <c r="LYU8" s="216"/>
      <c r="LYV8" s="216"/>
      <c r="LYW8" s="216"/>
      <c r="LYX8" s="216"/>
      <c r="LYY8" s="216"/>
      <c r="LYZ8" s="216"/>
      <c r="LZA8" s="216"/>
      <c r="LZB8" s="216"/>
      <c r="LZC8" s="216"/>
      <c r="LZD8" s="216"/>
      <c r="LZE8" s="216"/>
      <c r="LZF8" s="216"/>
      <c r="LZG8" s="216"/>
      <c r="LZH8" s="216"/>
      <c r="LZI8" s="216"/>
      <c r="LZJ8" s="216"/>
      <c r="LZK8" s="216"/>
      <c r="LZL8" s="216"/>
      <c r="LZM8" s="216"/>
      <c r="LZN8" s="216"/>
      <c r="LZO8" s="216"/>
      <c r="LZP8" s="216"/>
      <c r="LZQ8" s="216"/>
      <c r="LZR8" s="216"/>
      <c r="LZS8" s="216"/>
      <c r="LZT8" s="216"/>
      <c r="LZU8" s="216"/>
      <c r="LZV8" s="216"/>
      <c r="LZW8" s="216"/>
      <c r="LZX8" s="216"/>
      <c r="LZY8" s="216"/>
      <c r="LZZ8" s="216"/>
      <c r="MAA8" s="216"/>
      <c r="MAB8" s="216"/>
      <c r="MAC8" s="216"/>
      <c r="MAD8" s="216"/>
      <c r="MAE8" s="216"/>
      <c r="MAF8" s="216"/>
      <c r="MAG8" s="216"/>
      <c r="MAH8" s="216"/>
      <c r="MAI8" s="216"/>
      <c r="MAJ8" s="216"/>
      <c r="MAK8" s="216"/>
      <c r="MAL8" s="216"/>
      <c r="MAM8" s="216"/>
      <c r="MAN8" s="216"/>
      <c r="MAO8" s="216"/>
      <c r="MAP8" s="216"/>
      <c r="MAQ8" s="216"/>
      <c r="MAR8" s="216"/>
      <c r="MAS8" s="216"/>
      <c r="MAT8" s="216"/>
      <c r="MAU8" s="216"/>
      <c r="MAV8" s="216"/>
      <c r="MAW8" s="216"/>
      <c r="MAX8" s="216"/>
      <c r="MAY8" s="216"/>
      <c r="MAZ8" s="216"/>
      <c r="MBA8" s="216"/>
      <c r="MBB8" s="216"/>
      <c r="MBC8" s="216"/>
      <c r="MBD8" s="216"/>
      <c r="MBE8" s="216"/>
      <c r="MBF8" s="216"/>
      <c r="MBG8" s="216"/>
      <c r="MBH8" s="216"/>
      <c r="MBI8" s="216"/>
      <c r="MBJ8" s="216"/>
      <c r="MBK8" s="216"/>
      <c r="MBL8" s="216"/>
      <c r="MBM8" s="216"/>
      <c r="MBN8" s="216"/>
      <c r="MBO8" s="216"/>
      <c r="MBP8" s="216"/>
      <c r="MBQ8" s="216"/>
      <c r="MBR8" s="216"/>
      <c r="MBS8" s="216"/>
      <c r="MBT8" s="216"/>
      <c r="MBU8" s="216"/>
      <c r="MBV8" s="216"/>
      <c r="MBW8" s="216"/>
      <c r="MBX8" s="216"/>
      <c r="MBY8" s="216"/>
      <c r="MBZ8" s="216"/>
      <c r="MCA8" s="216"/>
      <c r="MCB8" s="216"/>
      <c r="MCC8" s="216"/>
      <c r="MCD8" s="216"/>
      <c r="MCE8" s="216"/>
      <c r="MCF8" s="216"/>
      <c r="MCG8" s="216"/>
      <c r="MCH8" s="216"/>
      <c r="MCI8" s="216"/>
      <c r="MCJ8" s="216"/>
      <c r="MCK8" s="216"/>
      <c r="MCL8" s="216"/>
      <c r="MCM8" s="216"/>
      <c r="MCN8" s="216"/>
      <c r="MCO8" s="216"/>
      <c r="MCP8" s="216"/>
      <c r="MCQ8" s="216"/>
      <c r="MCR8" s="216"/>
      <c r="MCS8" s="216"/>
      <c r="MCT8" s="216"/>
      <c r="MCU8" s="216"/>
      <c r="MCV8" s="216"/>
      <c r="MCW8" s="216"/>
      <c r="MCX8" s="216"/>
      <c r="MCY8" s="216"/>
      <c r="MCZ8" s="216"/>
      <c r="MDA8" s="216"/>
      <c r="MDB8" s="216"/>
      <c r="MDC8" s="216"/>
      <c r="MDD8" s="216"/>
      <c r="MDE8" s="216"/>
      <c r="MDF8" s="216"/>
      <c r="MDG8" s="216"/>
      <c r="MDH8" s="216"/>
      <c r="MDI8" s="216"/>
      <c r="MDJ8" s="216"/>
      <c r="MDK8" s="216"/>
      <c r="MDL8" s="216"/>
      <c r="MDM8" s="216"/>
      <c r="MDN8" s="216"/>
      <c r="MDO8" s="216"/>
      <c r="MDP8" s="216"/>
      <c r="MDQ8" s="216"/>
      <c r="MDR8" s="216"/>
      <c r="MDS8" s="216"/>
      <c r="MDT8" s="216"/>
      <c r="MDU8" s="216"/>
      <c r="MDV8" s="216"/>
      <c r="MDW8" s="216"/>
      <c r="MDX8" s="216"/>
      <c r="MDY8" s="216"/>
      <c r="MDZ8" s="216"/>
      <c r="MEA8" s="216"/>
      <c r="MEB8" s="216"/>
      <c r="MEC8" s="216"/>
      <c r="MED8" s="216"/>
      <c r="MEE8" s="216"/>
      <c r="MEF8" s="216"/>
      <c r="MEG8" s="216"/>
      <c r="MEH8" s="216"/>
      <c r="MEI8" s="216"/>
      <c r="MEJ8" s="216"/>
      <c r="MEK8" s="216"/>
      <c r="MEL8" s="216"/>
      <c r="MEM8" s="216"/>
      <c r="MEN8" s="216"/>
      <c r="MEO8" s="216"/>
      <c r="MEP8" s="216"/>
      <c r="MEQ8" s="216"/>
      <c r="MER8" s="216"/>
      <c r="MES8" s="216"/>
      <c r="MET8" s="216"/>
      <c r="MEU8" s="216"/>
      <c r="MEV8" s="216"/>
      <c r="MEW8" s="216"/>
      <c r="MEX8" s="216"/>
      <c r="MEY8" s="216"/>
      <c r="MEZ8" s="216"/>
      <c r="MFA8" s="216"/>
      <c r="MFB8" s="216"/>
      <c r="MFC8" s="216"/>
      <c r="MFD8" s="216"/>
      <c r="MFE8" s="216"/>
      <c r="MFF8" s="216"/>
      <c r="MFG8" s="216"/>
      <c r="MFH8" s="216"/>
      <c r="MFI8" s="216"/>
      <c r="MFJ8" s="216"/>
      <c r="MFK8" s="216"/>
      <c r="MFL8" s="216"/>
      <c r="MFM8" s="216"/>
      <c r="MFN8" s="216"/>
      <c r="MFO8" s="216"/>
      <c r="MFP8" s="216"/>
      <c r="MFQ8" s="216"/>
      <c r="MFR8" s="216"/>
      <c r="MFS8" s="216"/>
      <c r="MFT8" s="216"/>
      <c r="MFU8" s="216"/>
      <c r="MFV8" s="216"/>
      <c r="MFW8" s="216"/>
      <c r="MFX8" s="216"/>
      <c r="MFY8" s="216"/>
      <c r="MFZ8" s="216"/>
      <c r="MGA8" s="216"/>
      <c r="MGB8" s="216"/>
      <c r="MGC8" s="216"/>
      <c r="MGD8" s="216"/>
      <c r="MGE8" s="216"/>
      <c r="MGF8" s="216"/>
      <c r="MGG8" s="216"/>
      <c r="MGH8" s="216"/>
      <c r="MGI8" s="216"/>
      <c r="MGJ8" s="216"/>
      <c r="MGK8" s="216"/>
      <c r="MGL8" s="216"/>
      <c r="MGM8" s="216"/>
      <c r="MGN8" s="216"/>
      <c r="MGO8" s="216"/>
      <c r="MGP8" s="216"/>
      <c r="MGQ8" s="216"/>
      <c r="MGR8" s="216"/>
      <c r="MGS8" s="216"/>
      <c r="MGT8" s="216"/>
      <c r="MGU8" s="216"/>
      <c r="MGV8" s="216"/>
      <c r="MGW8" s="216"/>
      <c r="MGX8" s="216"/>
      <c r="MGY8" s="216"/>
      <c r="MGZ8" s="216"/>
      <c r="MHA8" s="216"/>
      <c r="MHB8" s="216"/>
      <c r="MHC8" s="216"/>
      <c r="MHD8" s="216"/>
      <c r="MHE8" s="216"/>
      <c r="MHF8" s="216"/>
      <c r="MHG8" s="216"/>
      <c r="MHH8" s="216"/>
      <c r="MHI8" s="216"/>
      <c r="MHJ8" s="216"/>
      <c r="MHK8" s="216"/>
      <c r="MHL8" s="216"/>
      <c r="MHM8" s="216"/>
      <c r="MHN8" s="216"/>
      <c r="MHO8" s="216"/>
      <c r="MHP8" s="216"/>
      <c r="MHQ8" s="216"/>
      <c r="MHR8" s="216"/>
      <c r="MHS8" s="216"/>
      <c r="MHT8" s="216"/>
      <c r="MHU8" s="216"/>
      <c r="MHV8" s="216"/>
      <c r="MHW8" s="216"/>
      <c r="MHX8" s="216"/>
      <c r="MHY8" s="216"/>
      <c r="MHZ8" s="216"/>
      <c r="MIA8" s="216"/>
      <c r="MIB8" s="216"/>
      <c r="MIC8" s="216"/>
      <c r="MID8" s="216"/>
      <c r="MIE8" s="216"/>
      <c r="MIF8" s="216"/>
      <c r="MIG8" s="216"/>
      <c r="MIH8" s="216"/>
      <c r="MII8" s="216"/>
      <c r="MIJ8" s="216"/>
      <c r="MIK8" s="216"/>
      <c r="MIL8" s="216"/>
      <c r="MIM8" s="216"/>
      <c r="MIN8" s="216"/>
      <c r="MIO8" s="216"/>
      <c r="MIP8" s="216"/>
      <c r="MIQ8" s="216"/>
      <c r="MIR8" s="216"/>
      <c r="MIS8" s="216"/>
      <c r="MIT8" s="216"/>
      <c r="MIU8" s="216"/>
      <c r="MIV8" s="216"/>
      <c r="MIW8" s="216"/>
      <c r="MIX8" s="216"/>
      <c r="MIY8" s="216"/>
      <c r="MIZ8" s="216"/>
      <c r="MJA8" s="216"/>
      <c r="MJB8" s="216"/>
      <c r="MJC8" s="216"/>
      <c r="MJD8" s="216"/>
      <c r="MJE8" s="216"/>
      <c r="MJF8" s="216"/>
      <c r="MJG8" s="216"/>
      <c r="MJH8" s="216"/>
      <c r="MJI8" s="216"/>
      <c r="MJJ8" s="216"/>
      <c r="MJK8" s="216"/>
      <c r="MJL8" s="216"/>
      <c r="MJM8" s="216"/>
      <c r="MJN8" s="216"/>
      <c r="MJO8" s="216"/>
      <c r="MJP8" s="216"/>
      <c r="MJQ8" s="216"/>
      <c r="MJR8" s="216"/>
      <c r="MJS8" s="216"/>
      <c r="MJT8" s="216"/>
      <c r="MJU8" s="216"/>
      <c r="MJV8" s="216"/>
      <c r="MJW8" s="216"/>
      <c r="MJX8" s="216"/>
      <c r="MJY8" s="216"/>
      <c r="MJZ8" s="216"/>
      <c r="MKA8" s="216"/>
      <c r="MKB8" s="216"/>
      <c r="MKC8" s="216"/>
      <c r="MKD8" s="216"/>
      <c r="MKE8" s="216"/>
      <c r="MKF8" s="216"/>
      <c r="MKG8" s="216"/>
      <c r="MKH8" s="216"/>
      <c r="MKI8" s="216"/>
      <c r="MKJ8" s="216"/>
      <c r="MKK8" s="216"/>
      <c r="MKL8" s="216"/>
      <c r="MKM8" s="216"/>
      <c r="MKN8" s="216"/>
      <c r="MKO8" s="216"/>
      <c r="MKP8" s="216"/>
      <c r="MKQ8" s="216"/>
      <c r="MKR8" s="216"/>
      <c r="MKS8" s="216"/>
      <c r="MKT8" s="216"/>
      <c r="MKU8" s="216"/>
      <c r="MKV8" s="216"/>
      <c r="MKW8" s="216"/>
      <c r="MKX8" s="216"/>
      <c r="MKY8" s="216"/>
      <c r="MKZ8" s="216"/>
      <c r="MLA8" s="216"/>
      <c r="MLB8" s="216"/>
      <c r="MLC8" s="216"/>
      <c r="MLD8" s="216"/>
      <c r="MLE8" s="216"/>
      <c r="MLF8" s="216"/>
      <c r="MLG8" s="216"/>
      <c r="MLH8" s="216"/>
      <c r="MLI8" s="216"/>
      <c r="MLJ8" s="216"/>
      <c r="MLK8" s="216"/>
      <c r="MLL8" s="216"/>
      <c r="MLM8" s="216"/>
      <c r="MLN8" s="216"/>
      <c r="MLO8" s="216"/>
      <c r="MLP8" s="216"/>
      <c r="MLQ8" s="216"/>
      <c r="MLR8" s="216"/>
      <c r="MLS8" s="216"/>
      <c r="MLT8" s="216"/>
      <c r="MLU8" s="216"/>
      <c r="MLV8" s="216"/>
      <c r="MLW8" s="216"/>
      <c r="MLX8" s="216"/>
      <c r="MLY8" s="216"/>
      <c r="MLZ8" s="216"/>
      <c r="MMA8" s="216"/>
      <c r="MMB8" s="216"/>
      <c r="MMC8" s="216"/>
      <c r="MMD8" s="216"/>
      <c r="MME8" s="216"/>
      <c r="MMF8" s="216"/>
      <c r="MMG8" s="216"/>
      <c r="MMH8" s="216"/>
      <c r="MMI8" s="216"/>
      <c r="MMJ8" s="216"/>
      <c r="MMK8" s="216"/>
      <c r="MML8" s="216"/>
      <c r="MMM8" s="216"/>
      <c r="MMN8" s="216"/>
      <c r="MMO8" s="216"/>
      <c r="MMP8" s="216"/>
      <c r="MMQ8" s="216"/>
      <c r="MMR8" s="216"/>
      <c r="MMS8" s="216"/>
      <c r="MMT8" s="216"/>
      <c r="MMU8" s="216"/>
      <c r="MMV8" s="216"/>
      <c r="MMW8" s="216"/>
      <c r="MMX8" s="216"/>
      <c r="MMY8" s="216"/>
      <c r="MMZ8" s="216"/>
      <c r="MNA8" s="216"/>
      <c r="MNB8" s="216"/>
      <c r="MNC8" s="216"/>
      <c r="MND8" s="216"/>
      <c r="MNE8" s="216"/>
      <c r="MNF8" s="216"/>
      <c r="MNG8" s="216"/>
      <c r="MNH8" s="216"/>
      <c r="MNI8" s="216"/>
      <c r="MNJ8" s="216"/>
      <c r="MNK8" s="216"/>
      <c r="MNL8" s="216"/>
      <c r="MNM8" s="216"/>
      <c r="MNN8" s="216"/>
      <c r="MNO8" s="216"/>
      <c r="MNP8" s="216"/>
      <c r="MNQ8" s="216"/>
      <c r="MNR8" s="216"/>
      <c r="MNS8" s="216"/>
      <c r="MNT8" s="216"/>
      <c r="MNU8" s="216"/>
      <c r="MNV8" s="216"/>
      <c r="MNW8" s="216"/>
      <c r="MNX8" s="216"/>
      <c r="MNY8" s="216"/>
      <c r="MNZ8" s="216"/>
      <c r="MOA8" s="216"/>
      <c r="MOB8" s="216"/>
      <c r="MOC8" s="216"/>
      <c r="MOD8" s="216"/>
      <c r="MOE8" s="216"/>
      <c r="MOF8" s="216"/>
      <c r="MOG8" s="216"/>
      <c r="MOH8" s="216"/>
      <c r="MOI8" s="216"/>
      <c r="MOJ8" s="216"/>
      <c r="MOK8" s="216"/>
      <c r="MOL8" s="216"/>
      <c r="MOM8" s="216"/>
      <c r="MON8" s="216"/>
      <c r="MOO8" s="216"/>
      <c r="MOP8" s="216"/>
      <c r="MOQ8" s="216"/>
      <c r="MOR8" s="216"/>
      <c r="MOS8" s="216"/>
      <c r="MOT8" s="216"/>
      <c r="MOU8" s="216"/>
      <c r="MOV8" s="216"/>
      <c r="MOW8" s="216"/>
      <c r="MOX8" s="216"/>
      <c r="MOY8" s="216"/>
      <c r="MOZ8" s="216"/>
      <c r="MPA8" s="216"/>
      <c r="MPB8" s="216"/>
      <c r="MPC8" s="216"/>
      <c r="MPD8" s="216"/>
      <c r="MPE8" s="216"/>
      <c r="MPF8" s="216"/>
      <c r="MPG8" s="216"/>
      <c r="MPH8" s="216"/>
      <c r="MPI8" s="216"/>
      <c r="MPJ8" s="216"/>
      <c r="MPK8" s="216"/>
      <c r="MPL8" s="216"/>
      <c r="MPM8" s="216"/>
      <c r="MPN8" s="216"/>
      <c r="MPO8" s="216"/>
      <c r="MPP8" s="216"/>
      <c r="MPQ8" s="216"/>
      <c r="MPR8" s="216"/>
      <c r="MPS8" s="216"/>
      <c r="MPT8" s="216"/>
      <c r="MPU8" s="216"/>
      <c r="MPV8" s="216"/>
      <c r="MPW8" s="216"/>
      <c r="MPX8" s="216"/>
      <c r="MPY8" s="216"/>
      <c r="MPZ8" s="216"/>
      <c r="MQA8" s="216"/>
      <c r="MQB8" s="216"/>
      <c r="MQC8" s="216"/>
      <c r="MQD8" s="216"/>
      <c r="MQE8" s="216"/>
      <c r="MQF8" s="216"/>
      <c r="MQG8" s="216"/>
      <c r="MQH8" s="216"/>
      <c r="MQI8" s="216"/>
      <c r="MQJ8" s="216"/>
      <c r="MQK8" s="216"/>
      <c r="MQL8" s="216"/>
      <c r="MQM8" s="216"/>
      <c r="MQN8" s="216"/>
      <c r="MQO8" s="216"/>
      <c r="MQP8" s="216"/>
      <c r="MQQ8" s="216"/>
      <c r="MQR8" s="216"/>
      <c r="MQS8" s="216"/>
      <c r="MQT8" s="216"/>
      <c r="MQU8" s="216"/>
      <c r="MQV8" s="216"/>
      <c r="MQW8" s="216"/>
      <c r="MQX8" s="216"/>
      <c r="MQY8" s="216"/>
      <c r="MQZ8" s="216"/>
      <c r="MRA8" s="216"/>
      <c r="MRB8" s="216"/>
      <c r="MRC8" s="216"/>
      <c r="MRD8" s="216"/>
      <c r="MRE8" s="216"/>
      <c r="MRF8" s="216"/>
      <c r="MRG8" s="216"/>
      <c r="MRH8" s="216"/>
      <c r="MRI8" s="216"/>
      <c r="MRJ8" s="216"/>
      <c r="MRK8" s="216"/>
      <c r="MRL8" s="216"/>
      <c r="MRM8" s="216"/>
      <c r="MRN8" s="216"/>
      <c r="MRO8" s="216"/>
      <c r="MRP8" s="216"/>
      <c r="MRQ8" s="216"/>
      <c r="MRR8" s="216"/>
      <c r="MRS8" s="216"/>
      <c r="MRT8" s="216"/>
      <c r="MRU8" s="216"/>
      <c r="MRV8" s="216"/>
      <c r="MRW8" s="216"/>
      <c r="MRX8" s="216"/>
      <c r="MRY8" s="216"/>
      <c r="MRZ8" s="216"/>
      <c r="MSA8" s="216"/>
      <c r="MSB8" s="216"/>
      <c r="MSC8" s="216"/>
      <c r="MSD8" s="216"/>
      <c r="MSE8" s="216"/>
      <c r="MSF8" s="216"/>
      <c r="MSG8" s="216"/>
      <c r="MSH8" s="216"/>
      <c r="MSI8" s="216"/>
      <c r="MSJ8" s="216"/>
      <c r="MSK8" s="216"/>
      <c r="MSL8" s="216"/>
      <c r="MSM8" s="216"/>
      <c r="MSN8" s="216"/>
      <c r="MSO8" s="216"/>
      <c r="MSP8" s="216"/>
      <c r="MSQ8" s="216"/>
      <c r="MSR8" s="216"/>
      <c r="MSS8" s="216"/>
      <c r="MST8" s="216"/>
      <c r="MSU8" s="216"/>
      <c r="MSV8" s="216"/>
      <c r="MSW8" s="216"/>
      <c r="MSX8" s="216"/>
      <c r="MSY8" s="216"/>
      <c r="MSZ8" s="216"/>
      <c r="MTA8" s="216"/>
      <c r="MTB8" s="216"/>
      <c r="MTC8" s="216"/>
      <c r="MTD8" s="216"/>
      <c r="MTE8" s="216"/>
      <c r="MTF8" s="216"/>
      <c r="MTG8" s="216"/>
      <c r="MTH8" s="216"/>
      <c r="MTI8" s="216"/>
      <c r="MTJ8" s="216"/>
      <c r="MTK8" s="216"/>
      <c r="MTL8" s="216"/>
      <c r="MTM8" s="216"/>
      <c r="MTN8" s="216"/>
      <c r="MTO8" s="216"/>
      <c r="MTP8" s="216"/>
      <c r="MTQ8" s="216"/>
      <c r="MTR8" s="216"/>
      <c r="MTS8" s="216"/>
      <c r="MTT8" s="216"/>
      <c r="MTU8" s="216"/>
      <c r="MTV8" s="216"/>
      <c r="MTW8" s="216"/>
      <c r="MTX8" s="216"/>
      <c r="MTY8" s="216"/>
      <c r="MTZ8" s="216"/>
      <c r="MUA8" s="216"/>
      <c r="MUB8" s="216"/>
      <c r="MUC8" s="216"/>
      <c r="MUD8" s="216"/>
      <c r="MUE8" s="216"/>
      <c r="MUF8" s="216"/>
      <c r="MUG8" s="216"/>
      <c r="MUH8" s="216"/>
      <c r="MUI8" s="216"/>
      <c r="MUJ8" s="216"/>
      <c r="MUK8" s="216"/>
      <c r="MUL8" s="216"/>
      <c r="MUM8" s="216"/>
      <c r="MUN8" s="216"/>
      <c r="MUO8" s="216"/>
      <c r="MUP8" s="216"/>
      <c r="MUQ8" s="216"/>
      <c r="MUR8" s="216"/>
      <c r="MUS8" s="216"/>
      <c r="MUT8" s="216"/>
      <c r="MUU8" s="216"/>
      <c r="MUV8" s="216"/>
      <c r="MUW8" s="216"/>
      <c r="MUX8" s="216"/>
      <c r="MUY8" s="216"/>
      <c r="MUZ8" s="216"/>
      <c r="MVA8" s="216"/>
      <c r="MVB8" s="216"/>
      <c r="MVC8" s="216"/>
      <c r="MVD8" s="216"/>
      <c r="MVE8" s="216"/>
      <c r="MVF8" s="216"/>
      <c r="MVG8" s="216"/>
      <c r="MVH8" s="216"/>
      <c r="MVI8" s="216"/>
      <c r="MVJ8" s="216"/>
      <c r="MVK8" s="216"/>
      <c r="MVL8" s="216"/>
      <c r="MVM8" s="216"/>
      <c r="MVN8" s="216"/>
      <c r="MVO8" s="216"/>
      <c r="MVP8" s="216"/>
      <c r="MVQ8" s="216"/>
      <c r="MVR8" s="216"/>
      <c r="MVS8" s="216"/>
      <c r="MVT8" s="216"/>
      <c r="MVU8" s="216"/>
      <c r="MVV8" s="216"/>
      <c r="MVW8" s="216"/>
      <c r="MVX8" s="216"/>
      <c r="MVY8" s="216"/>
      <c r="MVZ8" s="216"/>
      <c r="MWA8" s="216"/>
      <c r="MWB8" s="216"/>
      <c r="MWC8" s="216"/>
      <c r="MWD8" s="216"/>
      <c r="MWE8" s="216"/>
      <c r="MWF8" s="216"/>
      <c r="MWG8" s="216"/>
      <c r="MWH8" s="216"/>
      <c r="MWI8" s="216"/>
      <c r="MWJ8" s="216"/>
      <c r="MWK8" s="216"/>
      <c r="MWL8" s="216"/>
      <c r="MWM8" s="216"/>
      <c r="MWN8" s="216"/>
      <c r="MWO8" s="216"/>
      <c r="MWP8" s="216"/>
      <c r="MWQ8" s="216"/>
      <c r="MWR8" s="216"/>
      <c r="MWS8" s="216"/>
      <c r="MWT8" s="216"/>
      <c r="MWU8" s="216"/>
      <c r="MWV8" s="216"/>
      <c r="MWW8" s="216"/>
      <c r="MWX8" s="216"/>
      <c r="MWY8" s="216"/>
      <c r="MWZ8" s="216"/>
      <c r="MXA8" s="216"/>
      <c r="MXB8" s="216"/>
      <c r="MXC8" s="216"/>
      <c r="MXD8" s="216"/>
      <c r="MXE8" s="216"/>
      <c r="MXF8" s="216"/>
      <c r="MXG8" s="216"/>
      <c r="MXH8" s="216"/>
      <c r="MXI8" s="216"/>
      <c r="MXJ8" s="216"/>
      <c r="MXK8" s="216"/>
      <c r="MXL8" s="216"/>
      <c r="MXM8" s="216"/>
      <c r="MXN8" s="216"/>
      <c r="MXO8" s="216"/>
      <c r="MXP8" s="216"/>
      <c r="MXQ8" s="216"/>
      <c r="MXR8" s="216"/>
      <c r="MXS8" s="216"/>
      <c r="MXT8" s="216"/>
      <c r="MXU8" s="216"/>
      <c r="MXV8" s="216"/>
      <c r="MXW8" s="216"/>
      <c r="MXX8" s="216"/>
      <c r="MXY8" s="216"/>
      <c r="MXZ8" s="216"/>
      <c r="MYA8" s="216"/>
      <c r="MYB8" s="216"/>
      <c r="MYC8" s="216"/>
      <c r="MYD8" s="216"/>
      <c r="MYE8" s="216"/>
      <c r="MYF8" s="216"/>
      <c r="MYG8" s="216"/>
      <c r="MYH8" s="216"/>
      <c r="MYI8" s="216"/>
      <c r="MYJ8" s="216"/>
      <c r="MYK8" s="216"/>
      <c r="MYL8" s="216"/>
      <c r="MYM8" s="216"/>
      <c r="MYN8" s="216"/>
      <c r="MYO8" s="216"/>
      <c r="MYP8" s="216"/>
      <c r="MYQ8" s="216"/>
      <c r="MYR8" s="216"/>
      <c r="MYS8" s="216"/>
      <c r="MYT8" s="216"/>
      <c r="MYU8" s="216"/>
      <c r="MYV8" s="216"/>
      <c r="MYW8" s="216"/>
      <c r="MYX8" s="216"/>
      <c r="MYY8" s="216"/>
      <c r="MYZ8" s="216"/>
      <c r="MZA8" s="216"/>
      <c r="MZB8" s="216"/>
      <c r="MZC8" s="216"/>
      <c r="MZD8" s="216"/>
      <c r="MZE8" s="216"/>
      <c r="MZF8" s="216"/>
      <c r="MZG8" s="216"/>
      <c r="MZH8" s="216"/>
      <c r="MZI8" s="216"/>
      <c r="MZJ8" s="216"/>
      <c r="MZK8" s="216"/>
      <c r="MZL8" s="216"/>
      <c r="MZM8" s="216"/>
      <c r="MZN8" s="216"/>
      <c r="MZO8" s="216"/>
      <c r="MZP8" s="216"/>
      <c r="MZQ8" s="216"/>
      <c r="MZR8" s="216"/>
      <c r="MZS8" s="216"/>
      <c r="MZT8" s="216"/>
      <c r="MZU8" s="216"/>
      <c r="MZV8" s="216"/>
      <c r="MZW8" s="216"/>
      <c r="MZX8" s="216"/>
      <c r="MZY8" s="216"/>
      <c r="MZZ8" s="216"/>
      <c r="NAA8" s="216"/>
      <c r="NAB8" s="216"/>
      <c r="NAC8" s="216"/>
      <c r="NAD8" s="216"/>
      <c r="NAE8" s="216"/>
      <c r="NAF8" s="216"/>
      <c r="NAG8" s="216"/>
      <c r="NAH8" s="216"/>
      <c r="NAI8" s="216"/>
      <c r="NAJ8" s="216"/>
      <c r="NAK8" s="216"/>
      <c r="NAL8" s="216"/>
      <c r="NAM8" s="216"/>
      <c r="NAN8" s="216"/>
      <c r="NAO8" s="216"/>
      <c r="NAP8" s="216"/>
      <c r="NAQ8" s="216"/>
      <c r="NAR8" s="216"/>
      <c r="NAS8" s="216"/>
      <c r="NAT8" s="216"/>
      <c r="NAU8" s="216"/>
      <c r="NAV8" s="216"/>
      <c r="NAW8" s="216"/>
      <c r="NAX8" s="216"/>
      <c r="NAY8" s="216"/>
      <c r="NAZ8" s="216"/>
      <c r="NBA8" s="216"/>
      <c r="NBB8" s="216"/>
      <c r="NBC8" s="216"/>
      <c r="NBD8" s="216"/>
      <c r="NBE8" s="216"/>
      <c r="NBF8" s="216"/>
      <c r="NBG8" s="216"/>
      <c r="NBH8" s="216"/>
      <c r="NBI8" s="216"/>
      <c r="NBJ8" s="216"/>
      <c r="NBK8" s="216"/>
      <c r="NBL8" s="216"/>
      <c r="NBM8" s="216"/>
      <c r="NBN8" s="216"/>
      <c r="NBO8" s="216"/>
      <c r="NBP8" s="216"/>
      <c r="NBQ8" s="216"/>
      <c r="NBR8" s="216"/>
      <c r="NBS8" s="216"/>
      <c r="NBT8" s="216"/>
      <c r="NBU8" s="216"/>
      <c r="NBV8" s="216"/>
      <c r="NBW8" s="216"/>
      <c r="NBX8" s="216"/>
      <c r="NBY8" s="216"/>
      <c r="NBZ8" s="216"/>
      <c r="NCA8" s="216"/>
      <c r="NCB8" s="216"/>
      <c r="NCC8" s="216"/>
      <c r="NCD8" s="216"/>
      <c r="NCE8" s="216"/>
      <c r="NCF8" s="216"/>
      <c r="NCG8" s="216"/>
      <c r="NCH8" s="216"/>
      <c r="NCI8" s="216"/>
      <c r="NCJ8" s="216"/>
      <c r="NCK8" s="216"/>
      <c r="NCL8" s="216"/>
      <c r="NCM8" s="216"/>
      <c r="NCN8" s="216"/>
      <c r="NCO8" s="216"/>
      <c r="NCP8" s="216"/>
      <c r="NCQ8" s="216"/>
      <c r="NCR8" s="216"/>
      <c r="NCS8" s="216"/>
      <c r="NCT8" s="216"/>
      <c r="NCU8" s="216"/>
      <c r="NCV8" s="216"/>
      <c r="NCW8" s="216"/>
      <c r="NCX8" s="216"/>
      <c r="NCY8" s="216"/>
      <c r="NCZ8" s="216"/>
      <c r="NDA8" s="216"/>
      <c r="NDB8" s="216"/>
      <c r="NDC8" s="216"/>
      <c r="NDD8" s="216"/>
      <c r="NDE8" s="216"/>
      <c r="NDF8" s="216"/>
      <c r="NDG8" s="216"/>
      <c r="NDH8" s="216"/>
      <c r="NDI8" s="216"/>
      <c r="NDJ8" s="216"/>
      <c r="NDK8" s="216"/>
      <c r="NDL8" s="216"/>
      <c r="NDM8" s="216"/>
      <c r="NDN8" s="216"/>
      <c r="NDO8" s="216"/>
      <c r="NDP8" s="216"/>
      <c r="NDQ8" s="216"/>
      <c r="NDR8" s="216"/>
      <c r="NDS8" s="216"/>
      <c r="NDT8" s="216"/>
      <c r="NDU8" s="216"/>
      <c r="NDV8" s="216"/>
      <c r="NDW8" s="216"/>
      <c r="NDX8" s="216"/>
      <c r="NDY8" s="216"/>
      <c r="NDZ8" s="216"/>
      <c r="NEA8" s="216"/>
      <c r="NEB8" s="216"/>
      <c r="NEC8" s="216"/>
      <c r="NED8" s="216"/>
      <c r="NEE8" s="216"/>
      <c r="NEF8" s="216"/>
      <c r="NEG8" s="216"/>
      <c r="NEH8" s="216"/>
      <c r="NEI8" s="216"/>
      <c r="NEJ8" s="216"/>
      <c r="NEK8" s="216"/>
      <c r="NEL8" s="216"/>
      <c r="NEM8" s="216"/>
      <c r="NEN8" s="216"/>
      <c r="NEO8" s="216"/>
      <c r="NEP8" s="216"/>
      <c r="NEQ8" s="216"/>
      <c r="NER8" s="216"/>
      <c r="NES8" s="216"/>
      <c r="NET8" s="216"/>
      <c r="NEU8" s="216"/>
      <c r="NEV8" s="216"/>
      <c r="NEW8" s="216"/>
      <c r="NEX8" s="216"/>
      <c r="NEY8" s="216"/>
      <c r="NEZ8" s="216"/>
      <c r="NFA8" s="216"/>
      <c r="NFB8" s="216"/>
      <c r="NFC8" s="216"/>
      <c r="NFD8" s="216"/>
      <c r="NFE8" s="216"/>
      <c r="NFF8" s="216"/>
      <c r="NFG8" s="216"/>
      <c r="NFH8" s="216"/>
      <c r="NFI8" s="216"/>
      <c r="NFJ8" s="216"/>
      <c r="NFK8" s="216"/>
      <c r="NFL8" s="216"/>
      <c r="NFM8" s="216"/>
      <c r="NFN8" s="216"/>
      <c r="NFO8" s="216"/>
      <c r="NFP8" s="216"/>
      <c r="NFQ8" s="216"/>
      <c r="NFR8" s="216"/>
      <c r="NFS8" s="216"/>
      <c r="NFT8" s="216"/>
      <c r="NFU8" s="216"/>
      <c r="NFV8" s="216"/>
      <c r="NFW8" s="216"/>
      <c r="NFX8" s="216"/>
      <c r="NFY8" s="216"/>
      <c r="NFZ8" s="216"/>
      <c r="NGA8" s="216"/>
      <c r="NGB8" s="216"/>
      <c r="NGC8" s="216"/>
      <c r="NGD8" s="216"/>
      <c r="NGE8" s="216"/>
      <c r="NGF8" s="216"/>
      <c r="NGG8" s="216"/>
      <c r="NGH8" s="216"/>
      <c r="NGI8" s="216"/>
      <c r="NGJ8" s="216"/>
      <c r="NGK8" s="216"/>
      <c r="NGL8" s="216"/>
      <c r="NGM8" s="216"/>
      <c r="NGN8" s="216"/>
      <c r="NGO8" s="216"/>
      <c r="NGP8" s="216"/>
      <c r="NGQ8" s="216"/>
      <c r="NGR8" s="216"/>
      <c r="NGS8" s="216"/>
      <c r="NGT8" s="216"/>
      <c r="NGU8" s="216"/>
      <c r="NGV8" s="216"/>
      <c r="NGW8" s="216"/>
      <c r="NGX8" s="216"/>
      <c r="NGY8" s="216"/>
      <c r="NGZ8" s="216"/>
      <c r="NHA8" s="216"/>
      <c r="NHB8" s="216"/>
      <c r="NHC8" s="216"/>
      <c r="NHD8" s="216"/>
      <c r="NHE8" s="216"/>
      <c r="NHF8" s="216"/>
      <c r="NHG8" s="216"/>
      <c r="NHH8" s="216"/>
      <c r="NHI8" s="216"/>
      <c r="NHJ8" s="216"/>
      <c r="NHK8" s="216"/>
      <c r="NHL8" s="216"/>
      <c r="NHM8" s="216"/>
      <c r="NHN8" s="216"/>
      <c r="NHO8" s="216"/>
      <c r="NHP8" s="216"/>
      <c r="NHQ8" s="216"/>
      <c r="NHR8" s="216"/>
      <c r="NHS8" s="216"/>
      <c r="NHT8" s="216"/>
      <c r="NHU8" s="216"/>
      <c r="NHV8" s="216"/>
      <c r="NHW8" s="216"/>
      <c r="NHX8" s="216"/>
      <c r="NHY8" s="216"/>
      <c r="NHZ8" s="216"/>
      <c r="NIA8" s="216"/>
      <c r="NIB8" s="216"/>
      <c r="NIC8" s="216"/>
      <c r="NID8" s="216"/>
      <c r="NIE8" s="216"/>
      <c r="NIF8" s="216"/>
      <c r="NIG8" s="216"/>
      <c r="NIH8" s="216"/>
      <c r="NII8" s="216"/>
      <c r="NIJ8" s="216"/>
      <c r="NIK8" s="216"/>
      <c r="NIL8" s="216"/>
      <c r="NIM8" s="216"/>
      <c r="NIN8" s="216"/>
      <c r="NIO8" s="216"/>
      <c r="NIP8" s="216"/>
      <c r="NIQ8" s="216"/>
      <c r="NIR8" s="216"/>
      <c r="NIS8" s="216"/>
      <c r="NIT8" s="216"/>
      <c r="NIU8" s="216"/>
      <c r="NIV8" s="216"/>
      <c r="NIW8" s="216"/>
      <c r="NIX8" s="216"/>
      <c r="NIY8" s="216"/>
      <c r="NIZ8" s="216"/>
      <c r="NJA8" s="216"/>
      <c r="NJB8" s="216"/>
      <c r="NJC8" s="216"/>
      <c r="NJD8" s="216"/>
      <c r="NJE8" s="216"/>
      <c r="NJF8" s="216"/>
      <c r="NJG8" s="216"/>
      <c r="NJH8" s="216"/>
      <c r="NJI8" s="216"/>
      <c r="NJJ8" s="216"/>
      <c r="NJK8" s="216"/>
      <c r="NJL8" s="216"/>
      <c r="NJM8" s="216"/>
      <c r="NJN8" s="216"/>
      <c r="NJO8" s="216"/>
      <c r="NJP8" s="216"/>
      <c r="NJQ8" s="216"/>
      <c r="NJR8" s="216"/>
      <c r="NJS8" s="216"/>
      <c r="NJT8" s="216"/>
      <c r="NJU8" s="216"/>
      <c r="NJV8" s="216"/>
      <c r="NJW8" s="216"/>
      <c r="NJX8" s="216"/>
      <c r="NJY8" s="216"/>
      <c r="NJZ8" s="216"/>
      <c r="NKA8" s="216"/>
      <c r="NKB8" s="216"/>
      <c r="NKC8" s="216"/>
      <c r="NKD8" s="216"/>
      <c r="NKE8" s="216"/>
      <c r="NKF8" s="216"/>
      <c r="NKG8" s="216"/>
      <c r="NKH8" s="216"/>
      <c r="NKI8" s="216"/>
      <c r="NKJ8" s="216"/>
      <c r="NKK8" s="216"/>
      <c r="NKL8" s="216"/>
      <c r="NKM8" s="216"/>
      <c r="NKN8" s="216"/>
      <c r="NKO8" s="216"/>
      <c r="NKP8" s="216"/>
      <c r="NKQ8" s="216"/>
      <c r="NKR8" s="216"/>
      <c r="NKS8" s="216"/>
      <c r="NKT8" s="216"/>
      <c r="NKU8" s="216"/>
      <c r="NKV8" s="216"/>
      <c r="NKW8" s="216"/>
      <c r="NKX8" s="216"/>
      <c r="NKY8" s="216"/>
      <c r="NKZ8" s="216"/>
      <c r="NLA8" s="216"/>
      <c r="NLB8" s="216"/>
      <c r="NLC8" s="216"/>
      <c r="NLD8" s="216"/>
      <c r="NLE8" s="216"/>
      <c r="NLF8" s="216"/>
      <c r="NLG8" s="216"/>
      <c r="NLH8" s="216"/>
      <c r="NLI8" s="216"/>
      <c r="NLJ8" s="216"/>
      <c r="NLK8" s="216"/>
      <c r="NLL8" s="216"/>
      <c r="NLM8" s="216"/>
      <c r="NLN8" s="216"/>
      <c r="NLO8" s="216"/>
      <c r="NLP8" s="216"/>
      <c r="NLQ8" s="216"/>
      <c r="NLR8" s="216"/>
      <c r="NLS8" s="216"/>
      <c r="NLT8" s="216"/>
      <c r="NLU8" s="216"/>
      <c r="NLV8" s="216"/>
      <c r="NLW8" s="216"/>
      <c r="NLX8" s="216"/>
      <c r="NLY8" s="216"/>
      <c r="NLZ8" s="216"/>
      <c r="NMA8" s="216"/>
      <c r="NMB8" s="216"/>
      <c r="NMC8" s="216"/>
      <c r="NMD8" s="216"/>
      <c r="NME8" s="216"/>
      <c r="NMF8" s="216"/>
      <c r="NMG8" s="216"/>
      <c r="NMH8" s="216"/>
      <c r="NMI8" s="216"/>
      <c r="NMJ8" s="216"/>
      <c r="NMK8" s="216"/>
      <c r="NML8" s="216"/>
      <c r="NMM8" s="216"/>
      <c r="NMN8" s="216"/>
      <c r="NMO8" s="216"/>
      <c r="NMP8" s="216"/>
      <c r="NMQ8" s="216"/>
      <c r="NMR8" s="216"/>
      <c r="NMS8" s="216"/>
      <c r="NMT8" s="216"/>
      <c r="NMU8" s="216"/>
      <c r="NMV8" s="216"/>
      <c r="NMW8" s="216"/>
      <c r="NMX8" s="216"/>
      <c r="NMY8" s="216"/>
      <c r="NMZ8" s="216"/>
      <c r="NNA8" s="216"/>
      <c r="NNB8" s="216"/>
      <c r="NNC8" s="216"/>
      <c r="NND8" s="216"/>
      <c r="NNE8" s="216"/>
      <c r="NNF8" s="216"/>
      <c r="NNG8" s="216"/>
      <c r="NNH8" s="216"/>
      <c r="NNI8" s="216"/>
      <c r="NNJ8" s="216"/>
      <c r="NNK8" s="216"/>
      <c r="NNL8" s="216"/>
      <c r="NNM8" s="216"/>
      <c r="NNN8" s="216"/>
      <c r="NNO8" s="216"/>
      <c r="NNP8" s="216"/>
      <c r="NNQ8" s="216"/>
      <c r="NNR8" s="216"/>
      <c r="NNS8" s="216"/>
      <c r="NNT8" s="216"/>
      <c r="NNU8" s="216"/>
      <c r="NNV8" s="216"/>
      <c r="NNW8" s="216"/>
      <c r="NNX8" s="216"/>
      <c r="NNY8" s="216"/>
      <c r="NNZ8" s="216"/>
      <c r="NOA8" s="216"/>
      <c r="NOB8" s="216"/>
      <c r="NOC8" s="216"/>
      <c r="NOD8" s="216"/>
      <c r="NOE8" s="216"/>
      <c r="NOF8" s="216"/>
      <c r="NOG8" s="216"/>
      <c r="NOH8" s="216"/>
      <c r="NOI8" s="216"/>
      <c r="NOJ8" s="216"/>
      <c r="NOK8" s="216"/>
      <c r="NOL8" s="216"/>
      <c r="NOM8" s="216"/>
      <c r="NON8" s="216"/>
      <c r="NOO8" s="216"/>
      <c r="NOP8" s="216"/>
      <c r="NOQ8" s="216"/>
      <c r="NOR8" s="216"/>
      <c r="NOS8" s="216"/>
      <c r="NOT8" s="216"/>
      <c r="NOU8" s="216"/>
      <c r="NOV8" s="216"/>
      <c r="NOW8" s="216"/>
      <c r="NOX8" s="216"/>
      <c r="NOY8" s="216"/>
      <c r="NOZ8" s="216"/>
      <c r="NPA8" s="216"/>
      <c r="NPB8" s="216"/>
      <c r="NPC8" s="216"/>
      <c r="NPD8" s="216"/>
      <c r="NPE8" s="216"/>
      <c r="NPF8" s="216"/>
      <c r="NPG8" s="216"/>
      <c r="NPH8" s="216"/>
      <c r="NPI8" s="216"/>
      <c r="NPJ8" s="216"/>
      <c r="NPK8" s="216"/>
      <c r="NPL8" s="216"/>
      <c r="NPM8" s="216"/>
      <c r="NPN8" s="216"/>
      <c r="NPO8" s="216"/>
      <c r="NPP8" s="216"/>
      <c r="NPQ8" s="216"/>
      <c r="NPR8" s="216"/>
      <c r="NPS8" s="216"/>
      <c r="NPT8" s="216"/>
      <c r="NPU8" s="216"/>
      <c r="NPV8" s="216"/>
      <c r="NPW8" s="216"/>
      <c r="NPX8" s="216"/>
      <c r="NPY8" s="216"/>
      <c r="NPZ8" s="216"/>
      <c r="NQA8" s="216"/>
      <c r="NQB8" s="216"/>
      <c r="NQC8" s="216"/>
      <c r="NQD8" s="216"/>
      <c r="NQE8" s="216"/>
      <c r="NQF8" s="216"/>
      <c r="NQG8" s="216"/>
      <c r="NQH8" s="216"/>
      <c r="NQI8" s="216"/>
      <c r="NQJ8" s="216"/>
      <c r="NQK8" s="216"/>
      <c r="NQL8" s="216"/>
      <c r="NQM8" s="216"/>
      <c r="NQN8" s="216"/>
      <c r="NQO8" s="216"/>
      <c r="NQP8" s="216"/>
      <c r="NQQ8" s="216"/>
      <c r="NQR8" s="216"/>
      <c r="NQS8" s="216"/>
      <c r="NQT8" s="216"/>
      <c r="NQU8" s="216"/>
      <c r="NQV8" s="216"/>
      <c r="NQW8" s="216"/>
      <c r="NQX8" s="216"/>
      <c r="NQY8" s="216"/>
      <c r="NQZ8" s="216"/>
      <c r="NRA8" s="216"/>
      <c r="NRB8" s="216"/>
      <c r="NRC8" s="216"/>
      <c r="NRD8" s="216"/>
      <c r="NRE8" s="216"/>
      <c r="NRF8" s="216"/>
      <c r="NRG8" s="216"/>
      <c r="NRH8" s="216"/>
      <c r="NRI8" s="216"/>
      <c r="NRJ8" s="216"/>
      <c r="NRK8" s="216"/>
      <c r="NRL8" s="216"/>
      <c r="NRM8" s="216"/>
      <c r="NRN8" s="216"/>
      <c r="NRO8" s="216"/>
      <c r="NRP8" s="216"/>
      <c r="NRQ8" s="216"/>
      <c r="NRR8" s="216"/>
      <c r="NRS8" s="216"/>
      <c r="NRT8" s="216"/>
      <c r="NRU8" s="216"/>
      <c r="NRV8" s="216"/>
      <c r="NRW8" s="216"/>
      <c r="NRX8" s="216"/>
      <c r="NRY8" s="216"/>
      <c r="NRZ8" s="216"/>
      <c r="NSA8" s="216"/>
      <c r="NSB8" s="216"/>
      <c r="NSC8" s="216"/>
      <c r="NSD8" s="216"/>
      <c r="NSE8" s="216"/>
      <c r="NSF8" s="216"/>
      <c r="NSG8" s="216"/>
      <c r="NSH8" s="216"/>
      <c r="NSI8" s="216"/>
      <c r="NSJ8" s="216"/>
      <c r="NSK8" s="216"/>
      <c r="NSL8" s="216"/>
      <c r="NSM8" s="216"/>
      <c r="NSN8" s="216"/>
      <c r="NSO8" s="216"/>
      <c r="NSP8" s="216"/>
      <c r="NSQ8" s="216"/>
      <c r="NSR8" s="216"/>
      <c r="NSS8" s="216"/>
      <c r="NST8" s="216"/>
      <c r="NSU8" s="216"/>
      <c r="NSV8" s="216"/>
      <c r="NSW8" s="216"/>
      <c r="NSX8" s="216"/>
      <c r="NSY8" s="216"/>
      <c r="NSZ8" s="216"/>
      <c r="NTA8" s="216"/>
      <c r="NTB8" s="216"/>
      <c r="NTC8" s="216"/>
      <c r="NTD8" s="216"/>
      <c r="NTE8" s="216"/>
      <c r="NTF8" s="216"/>
      <c r="NTG8" s="216"/>
      <c r="NTH8" s="216"/>
      <c r="NTI8" s="216"/>
      <c r="NTJ8" s="216"/>
      <c r="NTK8" s="216"/>
      <c r="NTL8" s="216"/>
      <c r="NTM8" s="216"/>
      <c r="NTN8" s="216"/>
      <c r="NTO8" s="216"/>
      <c r="NTP8" s="216"/>
      <c r="NTQ8" s="216"/>
      <c r="NTR8" s="216"/>
      <c r="NTS8" s="216"/>
      <c r="NTT8" s="216"/>
      <c r="NTU8" s="216"/>
      <c r="NTV8" s="216"/>
      <c r="NTW8" s="216"/>
      <c r="NTX8" s="216"/>
      <c r="NTY8" s="216"/>
      <c r="NTZ8" s="216"/>
      <c r="NUA8" s="216"/>
      <c r="NUB8" s="216"/>
      <c r="NUC8" s="216"/>
      <c r="NUD8" s="216"/>
      <c r="NUE8" s="216"/>
      <c r="NUF8" s="216"/>
      <c r="NUG8" s="216"/>
      <c r="NUH8" s="216"/>
      <c r="NUI8" s="216"/>
      <c r="NUJ8" s="216"/>
      <c r="NUK8" s="216"/>
      <c r="NUL8" s="216"/>
      <c r="NUM8" s="216"/>
      <c r="NUN8" s="216"/>
      <c r="NUO8" s="216"/>
      <c r="NUP8" s="216"/>
      <c r="NUQ8" s="216"/>
      <c r="NUR8" s="216"/>
      <c r="NUS8" s="216"/>
      <c r="NUT8" s="216"/>
      <c r="NUU8" s="216"/>
      <c r="NUV8" s="216"/>
      <c r="NUW8" s="216"/>
      <c r="NUX8" s="216"/>
      <c r="NUY8" s="216"/>
      <c r="NUZ8" s="216"/>
      <c r="NVA8" s="216"/>
      <c r="NVB8" s="216"/>
      <c r="NVC8" s="216"/>
      <c r="NVD8" s="216"/>
      <c r="NVE8" s="216"/>
      <c r="NVF8" s="216"/>
      <c r="NVG8" s="216"/>
      <c r="NVH8" s="216"/>
      <c r="NVI8" s="216"/>
      <c r="NVJ8" s="216"/>
      <c r="NVK8" s="216"/>
      <c r="NVL8" s="216"/>
      <c r="NVM8" s="216"/>
      <c r="NVN8" s="216"/>
      <c r="NVO8" s="216"/>
      <c r="NVP8" s="216"/>
      <c r="NVQ8" s="216"/>
      <c r="NVR8" s="216"/>
      <c r="NVS8" s="216"/>
      <c r="NVT8" s="216"/>
      <c r="NVU8" s="216"/>
      <c r="NVV8" s="216"/>
      <c r="NVW8" s="216"/>
      <c r="NVX8" s="216"/>
      <c r="NVY8" s="216"/>
      <c r="NVZ8" s="216"/>
      <c r="NWA8" s="216"/>
      <c r="NWB8" s="216"/>
      <c r="NWC8" s="216"/>
      <c r="NWD8" s="216"/>
      <c r="NWE8" s="216"/>
      <c r="NWF8" s="216"/>
      <c r="NWG8" s="216"/>
      <c r="NWH8" s="216"/>
      <c r="NWI8" s="216"/>
      <c r="NWJ8" s="216"/>
      <c r="NWK8" s="216"/>
      <c r="NWL8" s="216"/>
      <c r="NWM8" s="216"/>
      <c r="NWN8" s="216"/>
      <c r="NWO8" s="216"/>
      <c r="NWP8" s="216"/>
      <c r="NWQ8" s="216"/>
      <c r="NWR8" s="216"/>
      <c r="NWS8" s="216"/>
      <c r="NWT8" s="216"/>
      <c r="NWU8" s="216"/>
      <c r="NWV8" s="216"/>
      <c r="NWW8" s="216"/>
      <c r="NWX8" s="216"/>
      <c r="NWY8" s="216"/>
      <c r="NWZ8" s="216"/>
      <c r="NXA8" s="216"/>
      <c r="NXB8" s="216"/>
      <c r="NXC8" s="216"/>
      <c r="NXD8" s="216"/>
      <c r="NXE8" s="216"/>
      <c r="NXF8" s="216"/>
      <c r="NXG8" s="216"/>
      <c r="NXH8" s="216"/>
      <c r="NXI8" s="216"/>
      <c r="NXJ8" s="216"/>
      <c r="NXK8" s="216"/>
      <c r="NXL8" s="216"/>
      <c r="NXM8" s="216"/>
      <c r="NXN8" s="216"/>
      <c r="NXO8" s="216"/>
      <c r="NXP8" s="216"/>
      <c r="NXQ8" s="216"/>
      <c r="NXR8" s="216"/>
      <c r="NXS8" s="216"/>
      <c r="NXT8" s="216"/>
      <c r="NXU8" s="216"/>
      <c r="NXV8" s="216"/>
      <c r="NXW8" s="216"/>
      <c r="NXX8" s="216"/>
      <c r="NXY8" s="216"/>
      <c r="NXZ8" s="216"/>
      <c r="NYA8" s="216"/>
      <c r="NYB8" s="216"/>
      <c r="NYC8" s="216"/>
      <c r="NYD8" s="216"/>
      <c r="NYE8" s="216"/>
      <c r="NYF8" s="216"/>
      <c r="NYG8" s="216"/>
      <c r="NYH8" s="216"/>
      <c r="NYI8" s="216"/>
      <c r="NYJ8" s="216"/>
      <c r="NYK8" s="216"/>
      <c r="NYL8" s="216"/>
      <c r="NYM8" s="216"/>
      <c r="NYN8" s="216"/>
      <c r="NYO8" s="216"/>
      <c r="NYP8" s="216"/>
      <c r="NYQ8" s="216"/>
      <c r="NYR8" s="216"/>
      <c r="NYS8" s="216"/>
      <c r="NYT8" s="216"/>
      <c r="NYU8" s="216"/>
      <c r="NYV8" s="216"/>
      <c r="NYW8" s="216"/>
      <c r="NYX8" s="216"/>
      <c r="NYY8" s="216"/>
      <c r="NYZ8" s="216"/>
      <c r="NZA8" s="216"/>
      <c r="NZB8" s="216"/>
      <c r="NZC8" s="216"/>
      <c r="NZD8" s="216"/>
      <c r="NZE8" s="216"/>
      <c r="NZF8" s="216"/>
      <c r="NZG8" s="216"/>
      <c r="NZH8" s="216"/>
      <c r="NZI8" s="216"/>
      <c r="NZJ8" s="216"/>
      <c r="NZK8" s="216"/>
      <c r="NZL8" s="216"/>
      <c r="NZM8" s="216"/>
      <c r="NZN8" s="216"/>
      <c r="NZO8" s="216"/>
      <c r="NZP8" s="216"/>
      <c r="NZQ8" s="216"/>
      <c r="NZR8" s="216"/>
      <c r="NZS8" s="216"/>
      <c r="NZT8" s="216"/>
      <c r="NZU8" s="216"/>
      <c r="NZV8" s="216"/>
      <c r="NZW8" s="216"/>
      <c r="NZX8" s="216"/>
      <c r="NZY8" s="216"/>
      <c r="NZZ8" s="216"/>
      <c r="OAA8" s="216"/>
      <c r="OAB8" s="216"/>
      <c r="OAC8" s="216"/>
      <c r="OAD8" s="216"/>
      <c r="OAE8" s="216"/>
      <c r="OAF8" s="216"/>
      <c r="OAG8" s="216"/>
      <c r="OAH8" s="216"/>
      <c r="OAI8" s="216"/>
      <c r="OAJ8" s="216"/>
      <c r="OAK8" s="216"/>
      <c r="OAL8" s="216"/>
      <c r="OAM8" s="216"/>
      <c r="OAN8" s="216"/>
      <c r="OAO8" s="216"/>
      <c r="OAP8" s="216"/>
      <c r="OAQ8" s="216"/>
      <c r="OAR8" s="216"/>
      <c r="OAS8" s="216"/>
      <c r="OAT8" s="216"/>
      <c r="OAU8" s="216"/>
      <c r="OAV8" s="216"/>
      <c r="OAW8" s="216"/>
      <c r="OAX8" s="216"/>
      <c r="OAY8" s="216"/>
      <c r="OAZ8" s="216"/>
      <c r="OBA8" s="216"/>
      <c r="OBB8" s="216"/>
      <c r="OBC8" s="216"/>
      <c r="OBD8" s="216"/>
      <c r="OBE8" s="216"/>
      <c r="OBF8" s="216"/>
      <c r="OBG8" s="216"/>
      <c r="OBH8" s="216"/>
      <c r="OBI8" s="216"/>
      <c r="OBJ8" s="216"/>
      <c r="OBK8" s="216"/>
      <c r="OBL8" s="216"/>
      <c r="OBM8" s="216"/>
      <c r="OBN8" s="216"/>
      <c r="OBO8" s="216"/>
      <c r="OBP8" s="216"/>
      <c r="OBQ8" s="216"/>
      <c r="OBR8" s="216"/>
      <c r="OBS8" s="216"/>
      <c r="OBT8" s="216"/>
      <c r="OBU8" s="216"/>
      <c r="OBV8" s="216"/>
      <c r="OBW8" s="216"/>
      <c r="OBX8" s="216"/>
      <c r="OBY8" s="216"/>
      <c r="OBZ8" s="216"/>
      <c r="OCA8" s="216"/>
      <c r="OCB8" s="216"/>
      <c r="OCC8" s="216"/>
      <c r="OCD8" s="216"/>
      <c r="OCE8" s="216"/>
      <c r="OCF8" s="216"/>
      <c r="OCG8" s="216"/>
      <c r="OCH8" s="216"/>
      <c r="OCI8" s="216"/>
      <c r="OCJ8" s="216"/>
      <c r="OCK8" s="216"/>
      <c r="OCL8" s="216"/>
      <c r="OCM8" s="216"/>
      <c r="OCN8" s="216"/>
      <c r="OCO8" s="216"/>
      <c r="OCP8" s="216"/>
      <c r="OCQ8" s="216"/>
      <c r="OCR8" s="216"/>
      <c r="OCS8" s="216"/>
      <c r="OCT8" s="216"/>
      <c r="OCU8" s="216"/>
      <c r="OCV8" s="216"/>
      <c r="OCW8" s="216"/>
      <c r="OCX8" s="216"/>
      <c r="OCY8" s="216"/>
      <c r="OCZ8" s="216"/>
      <c r="ODA8" s="216"/>
      <c r="ODB8" s="216"/>
      <c r="ODC8" s="216"/>
      <c r="ODD8" s="216"/>
      <c r="ODE8" s="216"/>
      <c r="ODF8" s="216"/>
      <c r="ODG8" s="216"/>
      <c r="ODH8" s="216"/>
      <c r="ODI8" s="216"/>
      <c r="ODJ8" s="216"/>
      <c r="ODK8" s="216"/>
      <c r="ODL8" s="216"/>
      <c r="ODM8" s="216"/>
      <c r="ODN8" s="216"/>
      <c r="ODO8" s="216"/>
      <c r="ODP8" s="216"/>
      <c r="ODQ8" s="216"/>
      <c r="ODR8" s="216"/>
      <c r="ODS8" s="216"/>
      <c r="ODT8" s="216"/>
      <c r="ODU8" s="216"/>
      <c r="ODV8" s="216"/>
      <c r="ODW8" s="216"/>
      <c r="ODX8" s="216"/>
      <c r="ODY8" s="216"/>
      <c r="ODZ8" s="216"/>
      <c r="OEA8" s="216"/>
      <c r="OEB8" s="216"/>
      <c r="OEC8" s="216"/>
      <c r="OED8" s="216"/>
      <c r="OEE8" s="216"/>
      <c r="OEF8" s="216"/>
      <c r="OEG8" s="216"/>
      <c r="OEH8" s="216"/>
      <c r="OEI8" s="216"/>
      <c r="OEJ8" s="216"/>
      <c r="OEK8" s="216"/>
      <c r="OEL8" s="216"/>
      <c r="OEM8" s="216"/>
      <c r="OEN8" s="216"/>
      <c r="OEO8" s="216"/>
      <c r="OEP8" s="216"/>
      <c r="OEQ8" s="216"/>
      <c r="OER8" s="216"/>
      <c r="OES8" s="216"/>
      <c r="OET8" s="216"/>
      <c r="OEU8" s="216"/>
      <c r="OEV8" s="216"/>
      <c r="OEW8" s="216"/>
      <c r="OEX8" s="216"/>
      <c r="OEY8" s="216"/>
      <c r="OEZ8" s="216"/>
      <c r="OFA8" s="216"/>
      <c r="OFB8" s="216"/>
      <c r="OFC8" s="216"/>
      <c r="OFD8" s="216"/>
      <c r="OFE8" s="216"/>
      <c r="OFF8" s="216"/>
      <c r="OFG8" s="216"/>
      <c r="OFH8" s="216"/>
      <c r="OFI8" s="216"/>
      <c r="OFJ8" s="216"/>
      <c r="OFK8" s="216"/>
      <c r="OFL8" s="216"/>
      <c r="OFM8" s="216"/>
      <c r="OFN8" s="216"/>
      <c r="OFO8" s="216"/>
      <c r="OFP8" s="216"/>
      <c r="OFQ8" s="216"/>
      <c r="OFR8" s="216"/>
      <c r="OFS8" s="216"/>
      <c r="OFT8" s="216"/>
      <c r="OFU8" s="216"/>
      <c r="OFV8" s="216"/>
      <c r="OFW8" s="216"/>
      <c r="OFX8" s="216"/>
      <c r="OFY8" s="216"/>
      <c r="OFZ8" s="216"/>
      <c r="OGA8" s="216"/>
      <c r="OGB8" s="216"/>
      <c r="OGC8" s="216"/>
      <c r="OGD8" s="216"/>
      <c r="OGE8" s="216"/>
      <c r="OGF8" s="216"/>
      <c r="OGG8" s="216"/>
      <c r="OGH8" s="216"/>
      <c r="OGI8" s="216"/>
      <c r="OGJ8" s="216"/>
      <c r="OGK8" s="216"/>
      <c r="OGL8" s="216"/>
      <c r="OGM8" s="216"/>
      <c r="OGN8" s="216"/>
      <c r="OGO8" s="216"/>
      <c r="OGP8" s="216"/>
      <c r="OGQ8" s="216"/>
      <c r="OGR8" s="216"/>
      <c r="OGS8" s="216"/>
      <c r="OGT8" s="216"/>
      <c r="OGU8" s="216"/>
      <c r="OGV8" s="216"/>
      <c r="OGW8" s="216"/>
      <c r="OGX8" s="216"/>
      <c r="OGY8" s="216"/>
      <c r="OGZ8" s="216"/>
      <c r="OHA8" s="216"/>
      <c r="OHB8" s="216"/>
      <c r="OHC8" s="216"/>
      <c r="OHD8" s="216"/>
      <c r="OHE8" s="216"/>
      <c r="OHF8" s="216"/>
      <c r="OHG8" s="216"/>
      <c r="OHH8" s="216"/>
      <c r="OHI8" s="216"/>
      <c r="OHJ8" s="216"/>
      <c r="OHK8" s="216"/>
      <c r="OHL8" s="216"/>
      <c r="OHM8" s="216"/>
      <c r="OHN8" s="216"/>
      <c r="OHO8" s="216"/>
      <c r="OHP8" s="216"/>
      <c r="OHQ8" s="216"/>
      <c r="OHR8" s="216"/>
      <c r="OHS8" s="216"/>
      <c r="OHT8" s="216"/>
      <c r="OHU8" s="216"/>
      <c r="OHV8" s="216"/>
      <c r="OHW8" s="216"/>
      <c r="OHX8" s="216"/>
      <c r="OHY8" s="216"/>
      <c r="OHZ8" s="216"/>
      <c r="OIA8" s="216"/>
      <c r="OIB8" s="216"/>
      <c r="OIC8" s="216"/>
      <c r="OID8" s="216"/>
      <c r="OIE8" s="216"/>
      <c r="OIF8" s="216"/>
      <c r="OIG8" s="216"/>
      <c r="OIH8" s="216"/>
      <c r="OII8" s="216"/>
      <c r="OIJ8" s="216"/>
      <c r="OIK8" s="216"/>
      <c r="OIL8" s="216"/>
      <c r="OIM8" s="216"/>
      <c r="OIN8" s="216"/>
      <c r="OIO8" s="216"/>
      <c r="OIP8" s="216"/>
      <c r="OIQ8" s="216"/>
      <c r="OIR8" s="216"/>
      <c r="OIS8" s="216"/>
      <c r="OIT8" s="216"/>
      <c r="OIU8" s="216"/>
      <c r="OIV8" s="216"/>
      <c r="OIW8" s="216"/>
      <c r="OIX8" s="216"/>
      <c r="OIY8" s="216"/>
      <c r="OIZ8" s="216"/>
      <c r="OJA8" s="216"/>
      <c r="OJB8" s="216"/>
      <c r="OJC8" s="216"/>
      <c r="OJD8" s="216"/>
      <c r="OJE8" s="216"/>
      <c r="OJF8" s="216"/>
      <c r="OJG8" s="216"/>
      <c r="OJH8" s="216"/>
      <c r="OJI8" s="216"/>
      <c r="OJJ8" s="216"/>
      <c r="OJK8" s="216"/>
      <c r="OJL8" s="216"/>
      <c r="OJM8" s="216"/>
      <c r="OJN8" s="216"/>
      <c r="OJO8" s="216"/>
      <c r="OJP8" s="216"/>
      <c r="OJQ8" s="216"/>
      <c r="OJR8" s="216"/>
      <c r="OJS8" s="216"/>
      <c r="OJT8" s="216"/>
      <c r="OJU8" s="216"/>
      <c r="OJV8" s="216"/>
      <c r="OJW8" s="216"/>
      <c r="OJX8" s="216"/>
      <c r="OJY8" s="216"/>
      <c r="OJZ8" s="216"/>
      <c r="OKA8" s="216"/>
      <c r="OKB8" s="216"/>
      <c r="OKC8" s="216"/>
      <c r="OKD8" s="216"/>
      <c r="OKE8" s="216"/>
      <c r="OKF8" s="216"/>
      <c r="OKG8" s="216"/>
      <c r="OKH8" s="216"/>
      <c r="OKI8" s="216"/>
      <c r="OKJ8" s="216"/>
      <c r="OKK8" s="216"/>
      <c r="OKL8" s="216"/>
      <c r="OKM8" s="216"/>
      <c r="OKN8" s="216"/>
      <c r="OKO8" s="216"/>
      <c r="OKP8" s="216"/>
      <c r="OKQ8" s="216"/>
      <c r="OKR8" s="216"/>
      <c r="OKS8" s="216"/>
      <c r="OKT8" s="216"/>
      <c r="OKU8" s="216"/>
      <c r="OKV8" s="216"/>
      <c r="OKW8" s="216"/>
      <c r="OKX8" s="216"/>
      <c r="OKY8" s="216"/>
      <c r="OKZ8" s="216"/>
      <c r="OLA8" s="216"/>
      <c r="OLB8" s="216"/>
      <c r="OLC8" s="216"/>
      <c r="OLD8" s="216"/>
      <c r="OLE8" s="216"/>
      <c r="OLF8" s="216"/>
      <c r="OLG8" s="216"/>
      <c r="OLH8" s="216"/>
      <c r="OLI8" s="216"/>
      <c r="OLJ8" s="216"/>
      <c r="OLK8" s="216"/>
      <c r="OLL8" s="216"/>
      <c r="OLM8" s="216"/>
      <c r="OLN8" s="216"/>
      <c r="OLO8" s="216"/>
      <c r="OLP8" s="216"/>
      <c r="OLQ8" s="216"/>
      <c r="OLR8" s="216"/>
      <c r="OLS8" s="216"/>
      <c r="OLT8" s="216"/>
      <c r="OLU8" s="216"/>
      <c r="OLV8" s="216"/>
      <c r="OLW8" s="216"/>
      <c r="OLX8" s="216"/>
      <c r="OLY8" s="216"/>
      <c r="OLZ8" s="216"/>
      <c r="OMA8" s="216"/>
      <c r="OMB8" s="216"/>
      <c r="OMC8" s="216"/>
      <c r="OMD8" s="216"/>
      <c r="OME8" s="216"/>
      <c r="OMF8" s="216"/>
      <c r="OMG8" s="216"/>
      <c r="OMH8" s="216"/>
      <c r="OMI8" s="216"/>
      <c r="OMJ8" s="216"/>
      <c r="OMK8" s="216"/>
      <c r="OML8" s="216"/>
      <c r="OMM8" s="216"/>
      <c r="OMN8" s="216"/>
      <c r="OMO8" s="216"/>
      <c r="OMP8" s="216"/>
      <c r="OMQ8" s="216"/>
      <c r="OMR8" s="216"/>
      <c r="OMS8" s="216"/>
      <c r="OMT8" s="216"/>
      <c r="OMU8" s="216"/>
      <c r="OMV8" s="216"/>
      <c r="OMW8" s="216"/>
      <c r="OMX8" s="216"/>
      <c r="OMY8" s="216"/>
      <c r="OMZ8" s="216"/>
      <c r="ONA8" s="216"/>
      <c r="ONB8" s="216"/>
      <c r="ONC8" s="216"/>
      <c r="OND8" s="216"/>
      <c r="ONE8" s="216"/>
      <c r="ONF8" s="216"/>
      <c r="ONG8" s="216"/>
      <c r="ONH8" s="216"/>
      <c r="ONI8" s="216"/>
      <c r="ONJ8" s="216"/>
      <c r="ONK8" s="216"/>
      <c r="ONL8" s="216"/>
      <c r="ONM8" s="216"/>
      <c r="ONN8" s="216"/>
      <c r="ONO8" s="216"/>
      <c r="ONP8" s="216"/>
      <c r="ONQ8" s="216"/>
      <c r="ONR8" s="216"/>
      <c r="ONS8" s="216"/>
      <c r="ONT8" s="216"/>
      <c r="ONU8" s="216"/>
      <c r="ONV8" s="216"/>
      <c r="ONW8" s="216"/>
      <c r="ONX8" s="216"/>
      <c r="ONY8" s="216"/>
      <c r="ONZ8" s="216"/>
      <c r="OOA8" s="216"/>
      <c r="OOB8" s="216"/>
      <c r="OOC8" s="216"/>
      <c r="OOD8" s="216"/>
      <c r="OOE8" s="216"/>
      <c r="OOF8" s="216"/>
      <c r="OOG8" s="216"/>
      <c r="OOH8" s="216"/>
      <c r="OOI8" s="216"/>
      <c r="OOJ8" s="216"/>
      <c r="OOK8" s="216"/>
      <c r="OOL8" s="216"/>
      <c r="OOM8" s="216"/>
      <c r="OON8" s="216"/>
      <c r="OOO8" s="216"/>
      <c r="OOP8" s="216"/>
      <c r="OOQ8" s="216"/>
      <c r="OOR8" s="216"/>
      <c r="OOS8" s="216"/>
      <c r="OOT8" s="216"/>
      <c r="OOU8" s="216"/>
      <c r="OOV8" s="216"/>
      <c r="OOW8" s="216"/>
      <c r="OOX8" s="216"/>
      <c r="OOY8" s="216"/>
      <c r="OOZ8" s="216"/>
      <c r="OPA8" s="216"/>
      <c r="OPB8" s="216"/>
      <c r="OPC8" s="216"/>
      <c r="OPD8" s="216"/>
      <c r="OPE8" s="216"/>
      <c r="OPF8" s="216"/>
      <c r="OPG8" s="216"/>
      <c r="OPH8" s="216"/>
      <c r="OPI8" s="216"/>
      <c r="OPJ8" s="216"/>
      <c r="OPK8" s="216"/>
      <c r="OPL8" s="216"/>
      <c r="OPM8" s="216"/>
      <c r="OPN8" s="216"/>
      <c r="OPO8" s="216"/>
      <c r="OPP8" s="216"/>
      <c r="OPQ8" s="216"/>
      <c r="OPR8" s="216"/>
      <c r="OPS8" s="216"/>
      <c r="OPT8" s="216"/>
      <c r="OPU8" s="216"/>
      <c r="OPV8" s="216"/>
      <c r="OPW8" s="216"/>
      <c r="OPX8" s="216"/>
      <c r="OPY8" s="216"/>
      <c r="OPZ8" s="216"/>
      <c r="OQA8" s="216"/>
      <c r="OQB8" s="216"/>
      <c r="OQC8" s="216"/>
      <c r="OQD8" s="216"/>
      <c r="OQE8" s="216"/>
      <c r="OQF8" s="216"/>
      <c r="OQG8" s="216"/>
      <c r="OQH8" s="216"/>
      <c r="OQI8" s="216"/>
      <c r="OQJ8" s="216"/>
      <c r="OQK8" s="216"/>
      <c r="OQL8" s="216"/>
      <c r="OQM8" s="216"/>
      <c r="OQN8" s="216"/>
      <c r="OQO8" s="216"/>
      <c r="OQP8" s="216"/>
      <c r="OQQ8" s="216"/>
      <c r="OQR8" s="216"/>
      <c r="OQS8" s="216"/>
      <c r="OQT8" s="216"/>
      <c r="OQU8" s="216"/>
      <c r="OQV8" s="216"/>
      <c r="OQW8" s="216"/>
      <c r="OQX8" s="216"/>
      <c r="OQY8" s="216"/>
      <c r="OQZ8" s="216"/>
      <c r="ORA8" s="216"/>
      <c r="ORB8" s="216"/>
      <c r="ORC8" s="216"/>
      <c r="ORD8" s="216"/>
      <c r="ORE8" s="216"/>
      <c r="ORF8" s="216"/>
      <c r="ORG8" s="216"/>
      <c r="ORH8" s="216"/>
      <c r="ORI8" s="216"/>
      <c r="ORJ8" s="216"/>
      <c r="ORK8" s="216"/>
      <c r="ORL8" s="216"/>
      <c r="ORM8" s="216"/>
      <c r="ORN8" s="216"/>
      <c r="ORO8" s="216"/>
      <c r="ORP8" s="216"/>
      <c r="ORQ8" s="216"/>
      <c r="ORR8" s="216"/>
      <c r="ORS8" s="216"/>
      <c r="ORT8" s="216"/>
      <c r="ORU8" s="216"/>
      <c r="ORV8" s="216"/>
      <c r="ORW8" s="216"/>
      <c r="ORX8" s="216"/>
      <c r="ORY8" s="216"/>
      <c r="ORZ8" s="216"/>
      <c r="OSA8" s="216"/>
      <c r="OSB8" s="216"/>
      <c r="OSC8" s="216"/>
      <c r="OSD8" s="216"/>
      <c r="OSE8" s="216"/>
      <c r="OSF8" s="216"/>
      <c r="OSG8" s="216"/>
      <c r="OSH8" s="216"/>
      <c r="OSI8" s="216"/>
      <c r="OSJ8" s="216"/>
      <c r="OSK8" s="216"/>
      <c r="OSL8" s="216"/>
      <c r="OSM8" s="216"/>
      <c r="OSN8" s="216"/>
      <c r="OSO8" s="216"/>
      <c r="OSP8" s="216"/>
      <c r="OSQ8" s="216"/>
      <c r="OSR8" s="216"/>
      <c r="OSS8" s="216"/>
      <c r="OST8" s="216"/>
      <c r="OSU8" s="216"/>
      <c r="OSV8" s="216"/>
      <c r="OSW8" s="216"/>
      <c r="OSX8" s="216"/>
      <c r="OSY8" s="216"/>
      <c r="OSZ8" s="216"/>
      <c r="OTA8" s="216"/>
      <c r="OTB8" s="216"/>
      <c r="OTC8" s="216"/>
      <c r="OTD8" s="216"/>
      <c r="OTE8" s="216"/>
      <c r="OTF8" s="216"/>
      <c r="OTG8" s="216"/>
      <c r="OTH8" s="216"/>
      <c r="OTI8" s="216"/>
      <c r="OTJ8" s="216"/>
      <c r="OTK8" s="216"/>
      <c r="OTL8" s="216"/>
      <c r="OTM8" s="216"/>
      <c r="OTN8" s="216"/>
      <c r="OTO8" s="216"/>
      <c r="OTP8" s="216"/>
      <c r="OTQ8" s="216"/>
      <c r="OTR8" s="216"/>
      <c r="OTS8" s="216"/>
      <c r="OTT8" s="216"/>
      <c r="OTU8" s="216"/>
      <c r="OTV8" s="216"/>
      <c r="OTW8" s="216"/>
      <c r="OTX8" s="216"/>
      <c r="OTY8" s="216"/>
      <c r="OTZ8" s="216"/>
      <c r="OUA8" s="216"/>
      <c r="OUB8" s="216"/>
      <c r="OUC8" s="216"/>
      <c r="OUD8" s="216"/>
      <c r="OUE8" s="216"/>
      <c r="OUF8" s="216"/>
      <c r="OUG8" s="216"/>
      <c r="OUH8" s="216"/>
      <c r="OUI8" s="216"/>
      <c r="OUJ8" s="216"/>
      <c r="OUK8" s="216"/>
      <c r="OUL8" s="216"/>
      <c r="OUM8" s="216"/>
      <c r="OUN8" s="216"/>
      <c r="OUO8" s="216"/>
      <c r="OUP8" s="216"/>
      <c r="OUQ8" s="216"/>
      <c r="OUR8" s="216"/>
      <c r="OUS8" s="216"/>
      <c r="OUT8" s="216"/>
      <c r="OUU8" s="216"/>
      <c r="OUV8" s="216"/>
      <c r="OUW8" s="216"/>
      <c r="OUX8" s="216"/>
      <c r="OUY8" s="216"/>
      <c r="OUZ8" s="216"/>
      <c r="OVA8" s="216"/>
      <c r="OVB8" s="216"/>
      <c r="OVC8" s="216"/>
      <c r="OVD8" s="216"/>
      <c r="OVE8" s="216"/>
      <c r="OVF8" s="216"/>
      <c r="OVG8" s="216"/>
      <c r="OVH8" s="216"/>
      <c r="OVI8" s="216"/>
      <c r="OVJ8" s="216"/>
      <c r="OVK8" s="216"/>
      <c r="OVL8" s="216"/>
      <c r="OVM8" s="216"/>
      <c r="OVN8" s="216"/>
      <c r="OVO8" s="216"/>
      <c r="OVP8" s="216"/>
      <c r="OVQ8" s="216"/>
      <c r="OVR8" s="216"/>
      <c r="OVS8" s="216"/>
      <c r="OVT8" s="216"/>
      <c r="OVU8" s="216"/>
      <c r="OVV8" s="216"/>
      <c r="OVW8" s="216"/>
      <c r="OVX8" s="216"/>
      <c r="OVY8" s="216"/>
      <c r="OVZ8" s="216"/>
      <c r="OWA8" s="216"/>
      <c r="OWB8" s="216"/>
      <c r="OWC8" s="216"/>
      <c r="OWD8" s="216"/>
      <c r="OWE8" s="216"/>
      <c r="OWF8" s="216"/>
      <c r="OWG8" s="216"/>
      <c r="OWH8" s="216"/>
      <c r="OWI8" s="216"/>
      <c r="OWJ8" s="216"/>
      <c r="OWK8" s="216"/>
      <c r="OWL8" s="216"/>
      <c r="OWM8" s="216"/>
      <c r="OWN8" s="216"/>
      <c r="OWO8" s="216"/>
      <c r="OWP8" s="216"/>
      <c r="OWQ8" s="216"/>
      <c r="OWR8" s="216"/>
      <c r="OWS8" s="216"/>
      <c r="OWT8" s="216"/>
      <c r="OWU8" s="216"/>
      <c r="OWV8" s="216"/>
      <c r="OWW8" s="216"/>
      <c r="OWX8" s="216"/>
      <c r="OWY8" s="216"/>
      <c r="OWZ8" s="216"/>
      <c r="OXA8" s="216"/>
      <c r="OXB8" s="216"/>
      <c r="OXC8" s="216"/>
      <c r="OXD8" s="216"/>
      <c r="OXE8" s="216"/>
      <c r="OXF8" s="216"/>
      <c r="OXG8" s="216"/>
      <c r="OXH8" s="216"/>
      <c r="OXI8" s="216"/>
      <c r="OXJ8" s="216"/>
      <c r="OXK8" s="216"/>
      <c r="OXL8" s="216"/>
      <c r="OXM8" s="216"/>
      <c r="OXN8" s="216"/>
      <c r="OXO8" s="216"/>
      <c r="OXP8" s="216"/>
      <c r="OXQ8" s="216"/>
      <c r="OXR8" s="216"/>
      <c r="OXS8" s="216"/>
      <c r="OXT8" s="216"/>
      <c r="OXU8" s="216"/>
      <c r="OXV8" s="216"/>
      <c r="OXW8" s="216"/>
      <c r="OXX8" s="216"/>
      <c r="OXY8" s="216"/>
      <c r="OXZ8" s="216"/>
      <c r="OYA8" s="216"/>
      <c r="OYB8" s="216"/>
      <c r="OYC8" s="216"/>
      <c r="OYD8" s="216"/>
      <c r="OYE8" s="216"/>
      <c r="OYF8" s="216"/>
      <c r="OYG8" s="216"/>
      <c r="OYH8" s="216"/>
      <c r="OYI8" s="216"/>
      <c r="OYJ8" s="216"/>
      <c r="OYK8" s="216"/>
      <c r="OYL8" s="216"/>
      <c r="OYM8" s="216"/>
      <c r="OYN8" s="216"/>
      <c r="OYO8" s="216"/>
      <c r="OYP8" s="216"/>
      <c r="OYQ8" s="216"/>
      <c r="OYR8" s="216"/>
      <c r="OYS8" s="216"/>
      <c r="OYT8" s="216"/>
      <c r="OYU8" s="216"/>
      <c r="OYV8" s="216"/>
      <c r="OYW8" s="216"/>
      <c r="OYX8" s="216"/>
      <c r="OYY8" s="216"/>
      <c r="OYZ8" s="216"/>
      <c r="OZA8" s="216"/>
      <c r="OZB8" s="216"/>
      <c r="OZC8" s="216"/>
      <c r="OZD8" s="216"/>
      <c r="OZE8" s="216"/>
      <c r="OZF8" s="216"/>
      <c r="OZG8" s="216"/>
      <c r="OZH8" s="216"/>
      <c r="OZI8" s="216"/>
      <c r="OZJ8" s="216"/>
      <c r="OZK8" s="216"/>
      <c r="OZL8" s="216"/>
      <c r="OZM8" s="216"/>
      <c r="OZN8" s="216"/>
      <c r="OZO8" s="216"/>
      <c r="OZP8" s="216"/>
      <c r="OZQ8" s="216"/>
      <c r="OZR8" s="216"/>
      <c r="OZS8" s="216"/>
      <c r="OZT8" s="216"/>
      <c r="OZU8" s="216"/>
      <c r="OZV8" s="216"/>
      <c r="OZW8" s="216"/>
      <c r="OZX8" s="216"/>
      <c r="OZY8" s="216"/>
      <c r="OZZ8" s="216"/>
      <c r="PAA8" s="216"/>
      <c r="PAB8" s="216"/>
      <c r="PAC8" s="216"/>
      <c r="PAD8" s="216"/>
      <c r="PAE8" s="216"/>
      <c r="PAF8" s="216"/>
      <c r="PAG8" s="216"/>
      <c r="PAH8" s="216"/>
      <c r="PAI8" s="216"/>
      <c r="PAJ8" s="216"/>
      <c r="PAK8" s="216"/>
      <c r="PAL8" s="216"/>
      <c r="PAM8" s="216"/>
      <c r="PAN8" s="216"/>
      <c r="PAO8" s="216"/>
      <c r="PAP8" s="216"/>
      <c r="PAQ8" s="216"/>
      <c r="PAR8" s="216"/>
      <c r="PAS8" s="216"/>
      <c r="PAT8" s="216"/>
      <c r="PAU8" s="216"/>
      <c r="PAV8" s="216"/>
      <c r="PAW8" s="216"/>
      <c r="PAX8" s="216"/>
      <c r="PAY8" s="216"/>
      <c r="PAZ8" s="216"/>
      <c r="PBA8" s="216"/>
      <c r="PBB8" s="216"/>
      <c r="PBC8" s="216"/>
      <c r="PBD8" s="216"/>
      <c r="PBE8" s="216"/>
      <c r="PBF8" s="216"/>
      <c r="PBG8" s="216"/>
      <c r="PBH8" s="216"/>
      <c r="PBI8" s="216"/>
      <c r="PBJ8" s="216"/>
      <c r="PBK8" s="216"/>
      <c r="PBL8" s="216"/>
      <c r="PBM8" s="216"/>
      <c r="PBN8" s="216"/>
      <c r="PBO8" s="216"/>
      <c r="PBP8" s="216"/>
      <c r="PBQ8" s="216"/>
      <c r="PBR8" s="216"/>
      <c r="PBS8" s="216"/>
      <c r="PBT8" s="216"/>
      <c r="PBU8" s="216"/>
      <c r="PBV8" s="216"/>
      <c r="PBW8" s="216"/>
      <c r="PBX8" s="216"/>
      <c r="PBY8" s="216"/>
      <c r="PBZ8" s="216"/>
      <c r="PCA8" s="216"/>
      <c r="PCB8" s="216"/>
      <c r="PCC8" s="216"/>
      <c r="PCD8" s="216"/>
      <c r="PCE8" s="216"/>
      <c r="PCF8" s="216"/>
      <c r="PCG8" s="216"/>
      <c r="PCH8" s="216"/>
      <c r="PCI8" s="216"/>
      <c r="PCJ8" s="216"/>
      <c r="PCK8" s="216"/>
      <c r="PCL8" s="216"/>
      <c r="PCM8" s="216"/>
      <c r="PCN8" s="216"/>
      <c r="PCO8" s="216"/>
      <c r="PCP8" s="216"/>
      <c r="PCQ8" s="216"/>
      <c r="PCR8" s="216"/>
      <c r="PCS8" s="216"/>
      <c r="PCT8" s="216"/>
      <c r="PCU8" s="216"/>
      <c r="PCV8" s="216"/>
      <c r="PCW8" s="216"/>
      <c r="PCX8" s="216"/>
      <c r="PCY8" s="216"/>
      <c r="PCZ8" s="216"/>
      <c r="PDA8" s="216"/>
      <c r="PDB8" s="216"/>
      <c r="PDC8" s="216"/>
      <c r="PDD8" s="216"/>
      <c r="PDE8" s="216"/>
      <c r="PDF8" s="216"/>
      <c r="PDG8" s="216"/>
      <c r="PDH8" s="216"/>
      <c r="PDI8" s="216"/>
      <c r="PDJ8" s="216"/>
      <c r="PDK8" s="216"/>
      <c r="PDL8" s="216"/>
      <c r="PDM8" s="216"/>
      <c r="PDN8" s="216"/>
      <c r="PDO8" s="216"/>
      <c r="PDP8" s="216"/>
      <c r="PDQ8" s="216"/>
      <c r="PDR8" s="216"/>
      <c r="PDS8" s="216"/>
      <c r="PDT8" s="216"/>
      <c r="PDU8" s="216"/>
      <c r="PDV8" s="216"/>
      <c r="PDW8" s="216"/>
      <c r="PDX8" s="216"/>
      <c r="PDY8" s="216"/>
      <c r="PDZ8" s="216"/>
      <c r="PEA8" s="216"/>
      <c r="PEB8" s="216"/>
      <c r="PEC8" s="216"/>
      <c r="PED8" s="216"/>
      <c r="PEE8" s="216"/>
      <c r="PEF8" s="216"/>
      <c r="PEG8" s="216"/>
      <c r="PEH8" s="216"/>
      <c r="PEI8" s="216"/>
      <c r="PEJ8" s="216"/>
      <c r="PEK8" s="216"/>
      <c r="PEL8" s="216"/>
      <c r="PEM8" s="216"/>
      <c r="PEN8" s="216"/>
      <c r="PEO8" s="216"/>
      <c r="PEP8" s="216"/>
      <c r="PEQ8" s="216"/>
      <c r="PER8" s="216"/>
      <c r="PES8" s="216"/>
      <c r="PET8" s="216"/>
      <c r="PEU8" s="216"/>
      <c r="PEV8" s="216"/>
      <c r="PEW8" s="216"/>
      <c r="PEX8" s="216"/>
      <c r="PEY8" s="216"/>
      <c r="PEZ8" s="216"/>
      <c r="PFA8" s="216"/>
      <c r="PFB8" s="216"/>
      <c r="PFC8" s="216"/>
      <c r="PFD8" s="216"/>
      <c r="PFE8" s="216"/>
      <c r="PFF8" s="216"/>
      <c r="PFG8" s="216"/>
      <c r="PFH8" s="216"/>
      <c r="PFI8" s="216"/>
      <c r="PFJ8" s="216"/>
      <c r="PFK8" s="216"/>
      <c r="PFL8" s="216"/>
      <c r="PFM8" s="216"/>
      <c r="PFN8" s="216"/>
      <c r="PFO8" s="216"/>
      <c r="PFP8" s="216"/>
      <c r="PFQ8" s="216"/>
      <c r="PFR8" s="216"/>
      <c r="PFS8" s="216"/>
      <c r="PFT8" s="216"/>
      <c r="PFU8" s="216"/>
      <c r="PFV8" s="216"/>
      <c r="PFW8" s="216"/>
      <c r="PFX8" s="216"/>
      <c r="PFY8" s="216"/>
      <c r="PFZ8" s="216"/>
      <c r="PGA8" s="216"/>
      <c r="PGB8" s="216"/>
      <c r="PGC8" s="216"/>
      <c r="PGD8" s="216"/>
      <c r="PGE8" s="216"/>
      <c r="PGF8" s="216"/>
      <c r="PGG8" s="216"/>
      <c r="PGH8" s="216"/>
      <c r="PGI8" s="216"/>
      <c r="PGJ8" s="216"/>
      <c r="PGK8" s="216"/>
      <c r="PGL8" s="216"/>
      <c r="PGM8" s="216"/>
      <c r="PGN8" s="216"/>
      <c r="PGO8" s="216"/>
      <c r="PGP8" s="216"/>
      <c r="PGQ8" s="216"/>
      <c r="PGR8" s="216"/>
      <c r="PGS8" s="216"/>
      <c r="PGT8" s="216"/>
      <c r="PGU8" s="216"/>
      <c r="PGV8" s="216"/>
      <c r="PGW8" s="216"/>
      <c r="PGX8" s="216"/>
      <c r="PGY8" s="216"/>
      <c r="PGZ8" s="216"/>
      <c r="PHA8" s="216"/>
      <c r="PHB8" s="216"/>
      <c r="PHC8" s="216"/>
      <c r="PHD8" s="216"/>
      <c r="PHE8" s="216"/>
      <c r="PHF8" s="216"/>
      <c r="PHG8" s="216"/>
      <c r="PHH8" s="216"/>
      <c r="PHI8" s="216"/>
      <c r="PHJ8" s="216"/>
      <c r="PHK8" s="216"/>
      <c r="PHL8" s="216"/>
      <c r="PHM8" s="216"/>
      <c r="PHN8" s="216"/>
      <c r="PHO8" s="216"/>
      <c r="PHP8" s="216"/>
      <c r="PHQ8" s="216"/>
      <c r="PHR8" s="216"/>
      <c r="PHS8" s="216"/>
      <c r="PHT8" s="216"/>
      <c r="PHU8" s="216"/>
      <c r="PHV8" s="216"/>
      <c r="PHW8" s="216"/>
      <c r="PHX8" s="216"/>
      <c r="PHY8" s="216"/>
      <c r="PHZ8" s="216"/>
      <c r="PIA8" s="216"/>
      <c r="PIB8" s="216"/>
      <c r="PIC8" s="216"/>
      <c r="PID8" s="216"/>
      <c r="PIE8" s="216"/>
      <c r="PIF8" s="216"/>
      <c r="PIG8" s="216"/>
      <c r="PIH8" s="216"/>
      <c r="PII8" s="216"/>
      <c r="PIJ8" s="216"/>
      <c r="PIK8" s="216"/>
      <c r="PIL8" s="216"/>
      <c r="PIM8" s="216"/>
      <c r="PIN8" s="216"/>
      <c r="PIO8" s="216"/>
      <c r="PIP8" s="216"/>
      <c r="PIQ8" s="216"/>
      <c r="PIR8" s="216"/>
      <c r="PIS8" s="216"/>
      <c r="PIT8" s="216"/>
      <c r="PIU8" s="216"/>
      <c r="PIV8" s="216"/>
      <c r="PIW8" s="216"/>
      <c r="PIX8" s="216"/>
      <c r="PIY8" s="216"/>
      <c r="PIZ8" s="216"/>
      <c r="PJA8" s="216"/>
      <c r="PJB8" s="216"/>
      <c r="PJC8" s="216"/>
      <c r="PJD8" s="216"/>
      <c r="PJE8" s="216"/>
      <c r="PJF8" s="216"/>
      <c r="PJG8" s="216"/>
      <c r="PJH8" s="216"/>
      <c r="PJI8" s="216"/>
      <c r="PJJ8" s="216"/>
      <c r="PJK8" s="216"/>
      <c r="PJL8" s="216"/>
      <c r="PJM8" s="216"/>
      <c r="PJN8" s="216"/>
      <c r="PJO8" s="216"/>
      <c r="PJP8" s="216"/>
      <c r="PJQ8" s="216"/>
      <c r="PJR8" s="216"/>
      <c r="PJS8" s="216"/>
      <c r="PJT8" s="216"/>
      <c r="PJU8" s="216"/>
      <c r="PJV8" s="216"/>
      <c r="PJW8" s="216"/>
      <c r="PJX8" s="216"/>
      <c r="PJY8" s="216"/>
      <c r="PJZ8" s="216"/>
      <c r="PKA8" s="216"/>
      <c r="PKB8" s="216"/>
      <c r="PKC8" s="216"/>
      <c r="PKD8" s="216"/>
      <c r="PKE8" s="216"/>
      <c r="PKF8" s="216"/>
      <c r="PKG8" s="216"/>
      <c r="PKH8" s="216"/>
      <c r="PKI8" s="216"/>
      <c r="PKJ8" s="216"/>
      <c r="PKK8" s="216"/>
      <c r="PKL8" s="216"/>
      <c r="PKM8" s="216"/>
      <c r="PKN8" s="216"/>
      <c r="PKO8" s="216"/>
      <c r="PKP8" s="216"/>
      <c r="PKQ8" s="216"/>
      <c r="PKR8" s="216"/>
      <c r="PKS8" s="216"/>
      <c r="PKT8" s="216"/>
      <c r="PKU8" s="216"/>
      <c r="PKV8" s="216"/>
      <c r="PKW8" s="216"/>
      <c r="PKX8" s="216"/>
      <c r="PKY8" s="216"/>
      <c r="PKZ8" s="216"/>
      <c r="PLA8" s="216"/>
      <c r="PLB8" s="216"/>
      <c r="PLC8" s="216"/>
      <c r="PLD8" s="216"/>
      <c r="PLE8" s="216"/>
      <c r="PLF8" s="216"/>
      <c r="PLG8" s="216"/>
      <c r="PLH8" s="216"/>
      <c r="PLI8" s="216"/>
      <c r="PLJ8" s="216"/>
      <c r="PLK8" s="216"/>
      <c r="PLL8" s="216"/>
      <c r="PLM8" s="216"/>
      <c r="PLN8" s="216"/>
      <c r="PLO8" s="216"/>
      <c r="PLP8" s="216"/>
      <c r="PLQ8" s="216"/>
      <c r="PLR8" s="216"/>
      <c r="PLS8" s="216"/>
      <c r="PLT8" s="216"/>
      <c r="PLU8" s="216"/>
      <c r="PLV8" s="216"/>
      <c r="PLW8" s="216"/>
      <c r="PLX8" s="216"/>
      <c r="PLY8" s="216"/>
      <c r="PLZ8" s="216"/>
      <c r="PMA8" s="216"/>
      <c r="PMB8" s="216"/>
      <c r="PMC8" s="216"/>
      <c r="PMD8" s="216"/>
      <c r="PME8" s="216"/>
      <c r="PMF8" s="216"/>
      <c r="PMG8" s="216"/>
      <c r="PMH8" s="216"/>
      <c r="PMI8" s="216"/>
      <c r="PMJ8" s="216"/>
      <c r="PMK8" s="216"/>
      <c r="PML8" s="216"/>
      <c r="PMM8" s="216"/>
      <c r="PMN8" s="216"/>
      <c r="PMO8" s="216"/>
      <c r="PMP8" s="216"/>
      <c r="PMQ8" s="216"/>
      <c r="PMR8" s="216"/>
      <c r="PMS8" s="216"/>
      <c r="PMT8" s="216"/>
      <c r="PMU8" s="216"/>
      <c r="PMV8" s="216"/>
      <c r="PMW8" s="216"/>
      <c r="PMX8" s="216"/>
      <c r="PMY8" s="216"/>
      <c r="PMZ8" s="216"/>
      <c r="PNA8" s="216"/>
      <c r="PNB8" s="216"/>
      <c r="PNC8" s="216"/>
      <c r="PND8" s="216"/>
      <c r="PNE8" s="216"/>
      <c r="PNF8" s="216"/>
      <c r="PNG8" s="216"/>
      <c r="PNH8" s="216"/>
      <c r="PNI8" s="216"/>
      <c r="PNJ8" s="216"/>
      <c r="PNK8" s="216"/>
      <c r="PNL8" s="216"/>
      <c r="PNM8" s="216"/>
      <c r="PNN8" s="216"/>
      <c r="PNO8" s="216"/>
      <c r="PNP8" s="216"/>
      <c r="PNQ8" s="216"/>
      <c r="PNR8" s="216"/>
      <c r="PNS8" s="216"/>
      <c r="PNT8" s="216"/>
      <c r="PNU8" s="216"/>
      <c r="PNV8" s="216"/>
      <c r="PNW8" s="216"/>
      <c r="PNX8" s="216"/>
      <c r="PNY8" s="216"/>
      <c r="PNZ8" s="216"/>
      <c r="POA8" s="216"/>
      <c r="POB8" s="216"/>
      <c r="POC8" s="216"/>
      <c r="POD8" s="216"/>
      <c r="POE8" s="216"/>
      <c r="POF8" s="216"/>
      <c r="POG8" s="216"/>
      <c r="POH8" s="216"/>
      <c r="POI8" s="216"/>
      <c r="POJ8" s="216"/>
      <c r="POK8" s="216"/>
      <c r="POL8" s="216"/>
      <c r="POM8" s="216"/>
      <c r="PON8" s="216"/>
      <c r="POO8" s="216"/>
      <c r="POP8" s="216"/>
      <c r="POQ8" s="216"/>
      <c r="POR8" s="216"/>
      <c r="POS8" s="216"/>
      <c r="POT8" s="216"/>
      <c r="POU8" s="216"/>
      <c r="POV8" s="216"/>
      <c r="POW8" s="216"/>
      <c r="POX8" s="216"/>
      <c r="POY8" s="216"/>
      <c r="POZ8" s="216"/>
      <c r="PPA8" s="216"/>
      <c r="PPB8" s="216"/>
      <c r="PPC8" s="216"/>
      <c r="PPD8" s="216"/>
      <c r="PPE8" s="216"/>
      <c r="PPF8" s="216"/>
      <c r="PPG8" s="216"/>
      <c r="PPH8" s="216"/>
      <c r="PPI8" s="216"/>
      <c r="PPJ8" s="216"/>
      <c r="PPK8" s="216"/>
      <c r="PPL8" s="216"/>
      <c r="PPM8" s="216"/>
      <c r="PPN8" s="216"/>
      <c r="PPO8" s="216"/>
      <c r="PPP8" s="216"/>
      <c r="PPQ8" s="216"/>
      <c r="PPR8" s="216"/>
      <c r="PPS8" s="216"/>
      <c r="PPT8" s="216"/>
      <c r="PPU8" s="216"/>
      <c r="PPV8" s="216"/>
      <c r="PPW8" s="216"/>
      <c r="PPX8" s="216"/>
      <c r="PPY8" s="216"/>
      <c r="PPZ8" s="216"/>
      <c r="PQA8" s="216"/>
      <c r="PQB8" s="216"/>
      <c r="PQC8" s="216"/>
      <c r="PQD8" s="216"/>
      <c r="PQE8" s="216"/>
      <c r="PQF8" s="216"/>
      <c r="PQG8" s="216"/>
      <c r="PQH8" s="216"/>
      <c r="PQI8" s="216"/>
      <c r="PQJ8" s="216"/>
      <c r="PQK8" s="216"/>
      <c r="PQL8" s="216"/>
      <c r="PQM8" s="216"/>
      <c r="PQN8" s="216"/>
      <c r="PQO8" s="216"/>
      <c r="PQP8" s="216"/>
      <c r="PQQ8" s="216"/>
      <c r="PQR8" s="216"/>
      <c r="PQS8" s="216"/>
      <c r="PQT8" s="216"/>
      <c r="PQU8" s="216"/>
      <c r="PQV8" s="216"/>
      <c r="PQW8" s="216"/>
      <c r="PQX8" s="216"/>
      <c r="PQY8" s="216"/>
      <c r="PQZ8" s="216"/>
      <c r="PRA8" s="216"/>
      <c r="PRB8" s="216"/>
      <c r="PRC8" s="216"/>
      <c r="PRD8" s="216"/>
      <c r="PRE8" s="216"/>
      <c r="PRF8" s="216"/>
      <c r="PRG8" s="216"/>
      <c r="PRH8" s="216"/>
      <c r="PRI8" s="216"/>
      <c r="PRJ8" s="216"/>
      <c r="PRK8" s="216"/>
      <c r="PRL8" s="216"/>
      <c r="PRM8" s="216"/>
      <c r="PRN8" s="216"/>
      <c r="PRO8" s="216"/>
      <c r="PRP8" s="216"/>
      <c r="PRQ8" s="216"/>
      <c r="PRR8" s="216"/>
      <c r="PRS8" s="216"/>
      <c r="PRT8" s="216"/>
      <c r="PRU8" s="216"/>
      <c r="PRV8" s="216"/>
      <c r="PRW8" s="216"/>
      <c r="PRX8" s="216"/>
      <c r="PRY8" s="216"/>
      <c r="PRZ8" s="216"/>
      <c r="PSA8" s="216"/>
      <c r="PSB8" s="216"/>
      <c r="PSC8" s="216"/>
      <c r="PSD8" s="216"/>
      <c r="PSE8" s="216"/>
      <c r="PSF8" s="216"/>
      <c r="PSG8" s="216"/>
      <c r="PSH8" s="216"/>
      <c r="PSI8" s="216"/>
      <c r="PSJ8" s="216"/>
      <c r="PSK8" s="216"/>
      <c r="PSL8" s="216"/>
      <c r="PSM8" s="216"/>
      <c r="PSN8" s="216"/>
      <c r="PSO8" s="216"/>
      <c r="PSP8" s="216"/>
      <c r="PSQ8" s="216"/>
      <c r="PSR8" s="216"/>
      <c r="PSS8" s="216"/>
      <c r="PST8" s="216"/>
      <c r="PSU8" s="216"/>
      <c r="PSV8" s="216"/>
      <c r="PSW8" s="216"/>
      <c r="PSX8" s="216"/>
      <c r="PSY8" s="216"/>
      <c r="PSZ8" s="216"/>
      <c r="PTA8" s="216"/>
      <c r="PTB8" s="216"/>
      <c r="PTC8" s="216"/>
      <c r="PTD8" s="216"/>
      <c r="PTE8" s="216"/>
      <c r="PTF8" s="216"/>
      <c r="PTG8" s="216"/>
      <c r="PTH8" s="216"/>
      <c r="PTI8" s="216"/>
      <c r="PTJ8" s="216"/>
      <c r="PTK8" s="216"/>
      <c r="PTL8" s="216"/>
      <c r="PTM8" s="216"/>
      <c r="PTN8" s="216"/>
      <c r="PTO8" s="216"/>
      <c r="PTP8" s="216"/>
      <c r="PTQ8" s="216"/>
      <c r="PTR8" s="216"/>
      <c r="PTS8" s="216"/>
      <c r="PTT8" s="216"/>
      <c r="PTU8" s="216"/>
      <c r="PTV8" s="216"/>
      <c r="PTW8" s="216"/>
      <c r="PTX8" s="216"/>
      <c r="PTY8" s="216"/>
      <c r="PTZ8" s="216"/>
      <c r="PUA8" s="216"/>
      <c r="PUB8" s="216"/>
      <c r="PUC8" s="216"/>
      <c r="PUD8" s="216"/>
      <c r="PUE8" s="216"/>
      <c r="PUF8" s="216"/>
      <c r="PUG8" s="216"/>
      <c r="PUH8" s="216"/>
      <c r="PUI8" s="216"/>
      <c r="PUJ8" s="216"/>
      <c r="PUK8" s="216"/>
      <c r="PUL8" s="216"/>
      <c r="PUM8" s="216"/>
      <c r="PUN8" s="216"/>
      <c r="PUO8" s="216"/>
      <c r="PUP8" s="216"/>
      <c r="PUQ8" s="216"/>
      <c r="PUR8" s="216"/>
      <c r="PUS8" s="216"/>
      <c r="PUT8" s="216"/>
      <c r="PUU8" s="216"/>
      <c r="PUV8" s="216"/>
      <c r="PUW8" s="216"/>
      <c r="PUX8" s="216"/>
      <c r="PUY8" s="216"/>
      <c r="PUZ8" s="216"/>
      <c r="PVA8" s="216"/>
      <c r="PVB8" s="216"/>
      <c r="PVC8" s="216"/>
      <c r="PVD8" s="216"/>
      <c r="PVE8" s="216"/>
      <c r="PVF8" s="216"/>
      <c r="PVG8" s="216"/>
      <c r="PVH8" s="216"/>
      <c r="PVI8" s="216"/>
      <c r="PVJ8" s="216"/>
      <c r="PVK8" s="216"/>
      <c r="PVL8" s="216"/>
      <c r="PVM8" s="216"/>
      <c r="PVN8" s="216"/>
      <c r="PVO8" s="216"/>
      <c r="PVP8" s="216"/>
      <c r="PVQ8" s="216"/>
      <c r="PVR8" s="216"/>
      <c r="PVS8" s="216"/>
      <c r="PVT8" s="216"/>
      <c r="PVU8" s="216"/>
      <c r="PVV8" s="216"/>
      <c r="PVW8" s="216"/>
      <c r="PVX8" s="216"/>
      <c r="PVY8" s="216"/>
      <c r="PVZ8" s="216"/>
      <c r="PWA8" s="216"/>
      <c r="PWB8" s="216"/>
      <c r="PWC8" s="216"/>
      <c r="PWD8" s="216"/>
      <c r="PWE8" s="216"/>
      <c r="PWF8" s="216"/>
      <c r="PWG8" s="216"/>
      <c r="PWH8" s="216"/>
      <c r="PWI8" s="216"/>
      <c r="PWJ8" s="216"/>
      <c r="PWK8" s="216"/>
      <c r="PWL8" s="216"/>
      <c r="PWM8" s="216"/>
      <c r="PWN8" s="216"/>
      <c r="PWO8" s="216"/>
      <c r="PWP8" s="216"/>
      <c r="PWQ8" s="216"/>
      <c r="PWR8" s="216"/>
      <c r="PWS8" s="216"/>
      <c r="PWT8" s="216"/>
      <c r="PWU8" s="216"/>
      <c r="PWV8" s="216"/>
      <c r="PWW8" s="216"/>
      <c r="PWX8" s="216"/>
      <c r="PWY8" s="216"/>
      <c r="PWZ8" s="216"/>
      <c r="PXA8" s="216"/>
      <c r="PXB8" s="216"/>
      <c r="PXC8" s="216"/>
      <c r="PXD8" s="216"/>
      <c r="PXE8" s="216"/>
      <c r="PXF8" s="216"/>
      <c r="PXG8" s="216"/>
      <c r="PXH8" s="216"/>
      <c r="PXI8" s="216"/>
      <c r="PXJ8" s="216"/>
      <c r="PXK8" s="216"/>
      <c r="PXL8" s="216"/>
      <c r="PXM8" s="216"/>
      <c r="PXN8" s="216"/>
      <c r="PXO8" s="216"/>
      <c r="PXP8" s="216"/>
      <c r="PXQ8" s="216"/>
      <c r="PXR8" s="216"/>
      <c r="PXS8" s="216"/>
      <c r="PXT8" s="216"/>
      <c r="PXU8" s="216"/>
      <c r="PXV8" s="216"/>
      <c r="PXW8" s="216"/>
      <c r="PXX8" s="216"/>
      <c r="PXY8" s="216"/>
      <c r="PXZ8" s="216"/>
      <c r="PYA8" s="216"/>
      <c r="PYB8" s="216"/>
      <c r="PYC8" s="216"/>
      <c r="PYD8" s="216"/>
      <c r="PYE8" s="216"/>
      <c r="PYF8" s="216"/>
      <c r="PYG8" s="216"/>
      <c r="PYH8" s="216"/>
      <c r="PYI8" s="216"/>
      <c r="PYJ8" s="216"/>
      <c r="PYK8" s="216"/>
      <c r="PYL8" s="216"/>
      <c r="PYM8" s="216"/>
      <c r="PYN8" s="216"/>
      <c r="PYO8" s="216"/>
      <c r="PYP8" s="216"/>
      <c r="PYQ8" s="216"/>
      <c r="PYR8" s="216"/>
      <c r="PYS8" s="216"/>
      <c r="PYT8" s="216"/>
      <c r="PYU8" s="216"/>
      <c r="PYV8" s="216"/>
      <c r="PYW8" s="216"/>
      <c r="PYX8" s="216"/>
      <c r="PYY8" s="216"/>
      <c r="PYZ8" s="216"/>
      <c r="PZA8" s="216"/>
      <c r="PZB8" s="216"/>
      <c r="PZC8" s="216"/>
      <c r="PZD8" s="216"/>
      <c r="PZE8" s="216"/>
      <c r="PZF8" s="216"/>
      <c r="PZG8" s="216"/>
      <c r="PZH8" s="216"/>
      <c r="PZI8" s="216"/>
      <c r="PZJ8" s="216"/>
      <c r="PZK8" s="216"/>
      <c r="PZL8" s="216"/>
      <c r="PZM8" s="216"/>
      <c r="PZN8" s="216"/>
      <c r="PZO8" s="216"/>
      <c r="PZP8" s="216"/>
      <c r="PZQ8" s="216"/>
      <c r="PZR8" s="216"/>
      <c r="PZS8" s="216"/>
      <c r="PZT8" s="216"/>
      <c r="PZU8" s="216"/>
      <c r="PZV8" s="216"/>
      <c r="PZW8" s="216"/>
      <c r="PZX8" s="216"/>
      <c r="PZY8" s="216"/>
      <c r="PZZ8" s="216"/>
      <c r="QAA8" s="216"/>
      <c r="QAB8" s="216"/>
      <c r="QAC8" s="216"/>
      <c r="QAD8" s="216"/>
      <c r="QAE8" s="216"/>
      <c r="QAF8" s="216"/>
      <c r="QAG8" s="216"/>
      <c r="QAH8" s="216"/>
      <c r="QAI8" s="216"/>
      <c r="QAJ8" s="216"/>
      <c r="QAK8" s="216"/>
      <c r="QAL8" s="216"/>
      <c r="QAM8" s="216"/>
      <c r="QAN8" s="216"/>
      <c r="QAO8" s="216"/>
      <c r="QAP8" s="216"/>
      <c r="QAQ8" s="216"/>
      <c r="QAR8" s="216"/>
      <c r="QAS8" s="216"/>
      <c r="QAT8" s="216"/>
      <c r="QAU8" s="216"/>
      <c r="QAV8" s="216"/>
      <c r="QAW8" s="216"/>
      <c r="QAX8" s="216"/>
      <c r="QAY8" s="216"/>
      <c r="QAZ8" s="216"/>
      <c r="QBA8" s="216"/>
      <c r="QBB8" s="216"/>
      <c r="QBC8" s="216"/>
      <c r="QBD8" s="216"/>
      <c r="QBE8" s="216"/>
      <c r="QBF8" s="216"/>
      <c r="QBG8" s="216"/>
      <c r="QBH8" s="216"/>
      <c r="QBI8" s="216"/>
      <c r="QBJ8" s="216"/>
      <c r="QBK8" s="216"/>
      <c r="QBL8" s="216"/>
      <c r="QBM8" s="216"/>
      <c r="QBN8" s="216"/>
      <c r="QBO8" s="216"/>
      <c r="QBP8" s="216"/>
      <c r="QBQ8" s="216"/>
      <c r="QBR8" s="216"/>
      <c r="QBS8" s="216"/>
      <c r="QBT8" s="216"/>
      <c r="QBU8" s="216"/>
      <c r="QBV8" s="216"/>
      <c r="QBW8" s="216"/>
      <c r="QBX8" s="216"/>
      <c r="QBY8" s="216"/>
      <c r="QBZ8" s="216"/>
      <c r="QCA8" s="216"/>
      <c r="QCB8" s="216"/>
      <c r="QCC8" s="216"/>
      <c r="QCD8" s="216"/>
      <c r="QCE8" s="216"/>
      <c r="QCF8" s="216"/>
      <c r="QCG8" s="216"/>
      <c r="QCH8" s="216"/>
      <c r="QCI8" s="216"/>
      <c r="QCJ8" s="216"/>
      <c r="QCK8" s="216"/>
      <c r="QCL8" s="216"/>
      <c r="QCM8" s="216"/>
      <c r="QCN8" s="216"/>
      <c r="QCO8" s="216"/>
      <c r="QCP8" s="216"/>
      <c r="QCQ8" s="216"/>
      <c r="QCR8" s="216"/>
      <c r="QCS8" s="216"/>
      <c r="QCT8" s="216"/>
      <c r="QCU8" s="216"/>
      <c r="QCV8" s="216"/>
      <c r="QCW8" s="216"/>
      <c r="QCX8" s="216"/>
      <c r="QCY8" s="216"/>
      <c r="QCZ8" s="216"/>
      <c r="QDA8" s="216"/>
      <c r="QDB8" s="216"/>
      <c r="QDC8" s="216"/>
      <c r="QDD8" s="216"/>
      <c r="QDE8" s="216"/>
      <c r="QDF8" s="216"/>
      <c r="QDG8" s="216"/>
      <c r="QDH8" s="216"/>
      <c r="QDI8" s="216"/>
      <c r="QDJ8" s="216"/>
      <c r="QDK8" s="216"/>
      <c r="QDL8" s="216"/>
      <c r="QDM8" s="216"/>
      <c r="QDN8" s="216"/>
      <c r="QDO8" s="216"/>
      <c r="QDP8" s="216"/>
      <c r="QDQ8" s="216"/>
      <c r="QDR8" s="216"/>
      <c r="QDS8" s="216"/>
      <c r="QDT8" s="216"/>
      <c r="QDU8" s="216"/>
      <c r="QDV8" s="216"/>
      <c r="QDW8" s="216"/>
      <c r="QDX8" s="216"/>
      <c r="QDY8" s="216"/>
      <c r="QDZ8" s="216"/>
      <c r="QEA8" s="216"/>
      <c r="QEB8" s="216"/>
      <c r="QEC8" s="216"/>
      <c r="QED8" s="216"/>
      <c r="QEE8" s="216"/>
      <c r="QEF8" s="216"/>
      <c r="QEG8" s="216"/>
      <c r="QEH8" s="216"/>
      <c r="QEI8" s="216"/>
      <c r="QEJ8" s="216"/>
      <c r="QEK8" s="216"/>
      <c r="QEL8" s="216"/>
      <c r="QEM8" s="216"/>
      <c r="QEN8" s="216"/>
      <c r="QEO8" s="216"/>
      <c r="QEP8" s="216"/>
      <c r="QEQ8" s="216"/>
      <c r="QER8" s="216"/>
      <c r="QES8" s="216"/>
      <c r="QET8" s="216"/>
      <c r="QEU8" s="216"/>
      <c r="QEV8" s="216"/>
      <c r="QEW8" s="216"/>
      <c r="QEX8" s="216"/>
      <c r="QEY8" s="216"/>
      <c r="QEZ8" s="216"/>
      <c r="QFA8" s="216"/>
      <c r="QFB8" s="216"/>
      <c r="QFC8" s="216"/>
      <c r="QFD8" s="216"/>
      <c r="QFE8" s="216"/>
      <c r="QFF8" s="216"/>
      <c r="QFG8" s="216"/>
      <c r="QFH8" s="216"/>
      <c r="QFI8" s="216"/>
      <c r="QFJ8" s="216"/>
      <c r="QFK8" s="216"/>
      <c r="QFL8" s="216"/>
      <c r="QFM8" s="216"/>
      <c r="QFN8" s="216"/>
      <c r="QFO8" s="216"/>
      <c r="QFP8" s="216"/>
      <c r="QFQ8" s="216"/>
      <c r="QFR8" s="216"/>
      <c r="QFS8" s="216"/>
      <c r="QFT8" s="216"/>
      <c r="QFU8" s="216"/>
      <c r="QFV8" s="216"/>
      <c r="QFW8" s="216"/>
      <c r="QFX8" s="216"/>
      <c r="QFY8" s="216"/>
      <c r="QFZ8" s="216"/>
      <c r="QGA8" s="216"/>
      <c r="QGB8" s="216"/>
      <c r="QGC8" s="216"/>
      <c r="QGD8" s="216"/>
      <c r="QGE8" s="216"/>
      <c r="QGF8" s="216"/>
      <c r="QGG8" s="216"/>
      <c r="QGH8" s="216"/>
      <c r="QGI8" s="216"/>
      <c r="QGJ8" s="216"/>
      <c r="QGK8" s="216"/>
      <c r="QGL8" s="216"/>
      <c r="QGM8" s="216"/>
      <c r="QGN8" s="216"/>
      <c r="QGO8" s="216"/>
      <c r="QGP8" s="216"/>
      <c r="QGQ8" s="216"/>
      <c r="QGR8" s="216"/>
      <c r="QGS8" s="216"/>
      <c r="QGT8" s="216"/>
      <c r="QGU8" s="216"/>
      <c r="QGV8" s="216"/>
      <c r="QGW8" s="216"/>
      <c r="QGX8" s="216"/>
      <c r="QGY8" s="216"/>
      <c r="QGZ8" s="216"/>
      <c r="QHA8" s="216"/>
      <c r="QHB8" s="216"/>
      <c r="QHC8" s="216"/>
      <c r="QHD8" s="216"/>
      <c r="QHE8" s="216"/>
      <c r="QHF8" s="216"/>
      <c r="QHG8" s="216"/>
      <c r="QHH8" s="216"/>
      <c r="QHI8" s="216"/>
      <c r="QHJ8" s="216"/>
      <c r="QHK8" s="216"/>
      <c r="QHL8" s="216"/>
      <c r="QHM8" s="216"/>
      <c r="QHN8" s="216"/>
      <c r="QHO8" s="216"/>
      <c r="QHP8" s="216"/>
      <c r="QHQ8" s="216"/>
      <c r="QHR8" s="216"/>
      <c r="QHS8" s="216"/>
      <c r="QHT8" s="216"/>
      <c r="QHU8" s="216"/>
      <c r="QHV8" s="216"/>
      <c r="QHW8" s="216"/>
      <c r="QHX8" s="216"/>
      <c r="QHY8" s="216"/>
      <c r="QHZ8" s="216"/>
      <c r="QIA8" s="216"/>
      <c r="QIB8" s="216"/>
      <c r="QIC8" s="216"/>
      <c r="QID8" s="216"/>
      <c r="QIE8" s="216"/>
      <c r="QIF8" s="216"/>
      <c r="QIG8" s="216"/>
      <c r="QIH8" s="216"/>
      <c r="QII8" s="216"/>
      <c r="QIJ8" s="216"/>
      <c r="QIK8" s="216"/>
      <c r="QIL8" s="216"/>
      <c r="QIM8" s="216"/>
      <c r="QIN8" s="216"/>
      <c r="QIO8" s="216"/>
      <c r="QIP8" s="216"/>
      <c r="QIQ8" s="216"/>
      <c r="QIR8" s="216"/>
      <c r="QIS8" s="216"/>
      <c r="QIT8" s="216"/>
      <c r="QIU8" s="216"/>
      <c r="QIV8" s="216"/>
      <c r="QIW8" s="216"/>
      <c r="QIX8" s="216"/>
      <c r="QIY8" s="216"/>
      <c r="QIZ8" s="216"/>
      <c r="QJA8" s="216"/>
      <c r="QJB8" s="216"/>
      <c r="QJC8" s="216"/>
      <c r="QJD8" s="216"/>
      <c r="QJE8" s="216"/>
      <c r="QJF8" s="216"/>
      <c r="QJG8" s="216"/>
      <c r="QJH8" s="216"/>
      <c r="QJI8" s="216"/>
      <c r="QJJ8" s="216"/>
      <c r="QJK8" s="216"/>
      <c r="QJL8" s="216"/>
      <c r="QJM8" s="216"/>
      <c r="QJN8" s="216"/>
      <c r="QJO8" s="216"/>
      <c r="QJP8" s="216"/>
      <c r="QJQ8" s="216"/>
      <c r="QJR8" s="216"/>
      <c r="QJS8" s="216"/>
      <c r="QJT8" s="216"/>
      <c r="QJU8" s="216"/>
      <c r="QJV8" s="216"/>
      <c r="QJW8" s="216"/>
      <c r="QJX8" s="216"/>
      <c r="QJY8" s="216"/>
      <c r="QJZ8" s="216"/>
      <c r="QKA8" s="216"/>
      <c r="QKB8" s="216"/>
      <c r="QKC8" s="216"/>
      <c r="QKD8" s="216"/>
      <c r="QKE8" s="216"/>
      <c r="QKF8" s="216"/>
      <c r="QKG8" s="216"/>
      <c r="QKH8" s="216"/>
      <c r="QKI8" s="216"/>
      <c r="QKJ8" s="216"/>
      <c r="QKK8" s="216"/>
      <c r="QKL8" s="216"/>
      <c r="QKM8" s="216"/>
      <c r="QKN8" s="216"/>
      <c r="QKO8" s="216"/>
      <c r="QKP8" s="216"/>
      <c r="QKQ8" s="216"/>
      <c r="QKR8" s="216"/>
      <c r="QKS8" s="216"/>
      <c r="QKT8" s="216"/>
      <c r="QKU8" s="216"/>
      <c r="QKV8" s="216"/>
      <c r="QKW8" s="216"/>
      <c r="QKX8" s="216"/>
      <c r="QKY8" s="216"/>
      <c r="QKZ8" s="216"/>
      <c r="QLA8" s="216"/>
      <c r="QLB8" s="216"/>
      <c r="QLC8" s="216"/>
      <c r="QLD8" s="216"/>
      <c r="QLE8" s="216"/>
      <c r="QLF8" s="216"/>
      <c r="QLG8" s="216"/>
      <c r="QLH8" s="216"/>
      <c r="QLI8" s="216"/>
      <c r="QLJ8" s="216"/>
      <c r="QLK8" s="216"/>
      <c r="QLL8" s="216"/>
      <c r="QLM8" s="216"/>
      <c r="QLN8" s="216"/>
      <c r="QLO8" s="216"/>
      <c r="QLP8" s="216"/>
      <c r="QLQ8" s="216"/>
      <c r="QLR8" s="216"/>
      <c r="QLS8" s="216"/>
      <c r="QLT8" s="216"/>
      <c r="QLU8" s="216"/>
      <c r="QLV8" s="216"/>
      <c r="QLW8" s="216"/>
      <c r="QLX8" s="216"/>
      <c r="QLY8" s="216"/>
      <c r="QLZ8" s="216"/>
      <c r="QMA8" s="216"/>
      <c r="QMB8" s="216"/>
      <c r="QMC8" s="216"/>
      <c r="QMD8" s="216"/>
      <c r="QME8" s="216"/>
      <c r="QMF8" s="216"/>
      <c r="QMG8" s="216"/>
      <c r="QMH8" s="216"/>
      <c r="QMI8" s="216"/>
      <c r="QMJ8" s="216"/>
      <c r="QMK8" s="216"/>
      <c r="QML8" s="216"/>
      <c r="QMM8" s="216"/>
      <c r="QMN8" s="216"/>
      <c r="QMO8" s="216"/>
      <c r="QMP8" s="216"/>
      <c r="QMQ8" s="216"/>
      <c r="QMR8" s="216"/>
      <c r="QMS8" s="216"/>
      <c r="QMT8" s="216"/>
      <c r="QMU8" s="216"/>
      <c r="QMV8" s="216"/>
      <c r="QMW8" s="216"/>
      <c r="QMX8" s="216"/>
      <c r="QMY8" s="216"/>
      <c r="QMZ8" s="216"/>
      <c r="QNA8" s="216"/>
      <c r="QNB8" s="216"/>
      <c r="QNC8" s="216"/>
      <c r="QND8" s="216"/>
      <c r="QNE8" s="216"/>
      <c r="QNF8" s="216"/>
      <c r="QNG8" s="216"/>
      <c r="QNH8" s="216"/>
      <c r="QNI8" s="216"/>
      <c r="QNJ8" s="216"/>
      <c r="QNK8" s="216"/>
      <c r="QNL8" s="216"/>
      <c r="QNM8" s="216"/>
      <c r="QNN8" s="216"/>
      <c r="QNO8" s="216"/>
      <c r="QNP8" s="216"/>
      <c r="QNQ8" s="216"/>
      <c r="QNR8" s="216"/>
      <c r="QNS8" s="216"/>
      <c r="QNT8" s="216"/>
      <c r="QNU8" s="216"/>
      <c r="QNV8" s="216"/>
      <c r="QNW8" s="216"/>
      <c r="QNX8" s="216"/>
      <c r="QNY8" s="216"/>
      <c r="QNZ8" s="216"/>
      <c r="QOA8" s="216"/>
      <c r="QOB8" s="216"/>
      <c r="QOC8" s="216"/>
      <c r="QOD8" s="216"/>
      <c r="QOE8" s="216"/>
      <c r="QOF8" s="216"/>
      <c r="QOG8" s="216"/>
      <c r="QOH8" s="216"/>
      <c r="QOI8" s="216"/>
      <c r="QOJ8" s="216"/>
      <c r="QOK8" s="216"/>
      <c r="QOL8" s="216"/>
      <c r="QOM8" s="216"/>
      <c r="QON8" s="216"/>
      <c r="QOO8" s="216"/>
      <c r="QOP8" s="216"/>
      <c r="QOQ8" s="216"/>
      <c r="QOR8" s="216"/>
      <c r="QOS8" s="216"/>
      <c r="QOT8" s="216"/>
      <c r="QOU8" s="216"/>
      <c r="QOV8" s="216"/>
      <c r="QOW8" s="216"/>
      <c r="QOX8" s="216"/>
      <c r="QOY8" s="216"/>
      <c r="QOZ8" s="216"/>
      <c r="QPA8" s="216"/>
      <c r="QPB8" s="216"/>
      <c r="QPC8" s="216"/>
      <c r="QPD8" s="216"/>
      <c r="QPE8" s="216"/>
      <c r="QPF8" s="216"/>
      <c r="QPG8" s="216"/>
      <c r="QPH8" s="216"/>
      <c r="QPI8" s="216"/>
      <c r="QPJ8" s="216"/>
      <c r="QPK8" s="216"/>
      <c r="QPL8" s="216"/>
      <c r="QPM8" s="216"/>
      <c r="QPN8" s="216"/>
      <c r="QPO8" s="216"/>
      <c r="QPP8" s="216"/>
      <c r="QPQ8" s="216"/>
      <c r="QPR8" s="216"/>
      <c r="QPS8" s="216"/>
      <c r="QPT8" s="216"/>
      <c r="QPU8" s="216"/>
      <c r="QPV8" s="216"/>
      <c r="QPW8" s="216"/>
      <c r="QPX8" s="216"/>
      <c r="QPY8" s="216"/>
      <c r="QPZ8" s="216"/>
      <c r="QQA8" s="216"/>
      <c r="QQB8" s="216"/>
      <c r="QQC8" s="216"/>
      <c r="QQD8" s="216"/>
      <c r="QQE8" s="216"/>
      <c r="QQF8" s="216"/>
      <c r="QQG8" s="216"/>
      <c r="QQH8" s="216"/>
      <c r="QQI8" s="216"/>
      <c r="QQJ8" s="216"/>
      <c r="QQK8" s="216"/>
      <c r="QQL8" s="216"/>
      <c r="QQM8" s="216"/>
      <c r="QQN8" s="216"/>
      <c r="QQO8" s="216"/>
      <c r="QQP8" s="216"/>
      <c r="QQQ8" s="216"/>
      <c r="QQR8" s="216"/>
      <c r="QQS8" s="216"/>
      <c r="QQT8" s="216"/>
      <c r="QQU8" s="216"/>
      <c r="QQV8" s="216"/>
      <c r="QQW8" s="216"/>
      <c r="QQX8" s="216"/>
      <c r="QQY8" s="216"/>
      <c r="QQZ8" s="216"/>
      <c r="QRA8" s="216"/>
      <c r="QRB8" s="216"/>
      <c r="QRC8" s="216"/>
      <c r="QRD8" s="216"/>
      <c r="QRE8" s="216"/>
      <c r="QRF8" s="216"/>
      <c r="QRG8" s="216"/>
      <c r="QRH8" s="216"/>
      <c r="QRI8" s="216"/>
      <c r="QRJ8" s="216"/>
      <c r="QRK8" s="216"/>
      <c r="QRL8" s="216"/>
      <c r="QRM8" s="216"/>
      <c r="QRN8" s="216"/>
      <c r="QRO8" s="216"/>
      <c r="QRP8" s="216"/>
      <c r="QRQ8" s="216"/>
      <c r="QRR8" s="216"/>
      <c r="QRS8" s="216"/>
      <c r="QRT8" s="216"/>
      <c r="QRU8" s="216"/>
      <c r="QRV8" s="216"/>
      <c r="QRW8" s="216"/>
      <c r="QRX8" s="216"/>
      <c r="QRY8" s="216"/>
      <c r="QRZ8" s="216"/>
      <c r="QSA8" s="216"/>
      <c r="QSB8" s="216"/>
      <c r="QSC8" s="216"/>
      <c r="QSD8" s="216"/>
      <c r="QSE8" s="216"/>
      <c r="QSF8" s="216"/>
      <c r="QSG8" s="216"/>
      <c r="QSH8" s="216"/>
      <c r="QSI8" s="216"/>
      <c r="QSJ8" s="216"/>
      <c r="QSK8" s="216"/>
      <c r="QSL8" s="216"/>
      <c r="QSM8" s="216"/>
      <c r="QSN8" s="216"/>
      <c r="QSO8" s="216"/>
      <c r="QSP8" s="216"/>
      <c r="QSQ8" s="216"/>
      <c r="QSR8" s="216"/>
      <c r="QSS8" s="216"/>
      <c r="QST8" s="216"/>
      <c r="QSU8" s="216"/>
      <c r="QSV8" s="216"/>
      <c r="QSW8" s="216"/>
      <c r="QSX8" s="216"/>
      <c r="QSY8" s="216"/>
      <c r="QSZ8" s="216"/>
      <c r="QTA8" s="216"/>
      <c r="QTB8" s="216"/>
      <c r="QTC8" s="216"/>
      <c r="QTD8" s="216"/>
      <c r="QTE8" s="216"/>
      <c r="QTF8" s="216"/>
      <c r="QTG8" s="216"/>
      <c r="QTH8" s="216"/>
      <c r="QTI8" s="216"/>
      <c r="QTJ8" s="216"/>
      <c r="QTK8" s="216"/>
      <c r="QTL8" s="216"/>
      <c r="QTM8" s="216"/>
      <c r="QTN8" s="216"/>
      <c r="QTO8" s="216"/>
      <c r="QTP8" s="216"/>
      <c r="QTQ8" s="216"/>
      <c r="QTR8" s="216"/>
      <c r="QTS8" s="216"/>
      <c r="QTT8" s="216"/>
      <c r="QTU8" s="216"/>
      <c r="QTV8" s="216"/>
      <c r="QTW8" s="216"/>
      <c r="QTX8" s="216"/>
      <c r="QTY8" s="216"/>
      <c r="QTZ8" s="216"/>
      <c r="QUA8" s="216"/>
      <c r="QUB8" s="216"/>
      <c r="QUC8" s="216"/>
      <c r="QUD8" s="216"/>
      <c r="QUE8" s="216"/>
      <c r="QUF8" s="216"/>
      <c r="QUG8" s="216"/>
      <c r="QUH8" s="216"/>
      <c r="QUI8" s="216"/>
      <c r="QUJ8" s="216"/>
      <c r="QUK8" s="216"/>
      <c r="QUL8" s="216"/>
      <c r="QUM8" s="216"/>
      <c r="QUN8" s="216"/>
      <c r="QUO8" s="216"/>
      <c r="QUP8" s="216"/>
      <c r="QUQ8" s="216"/>
      <c r="QUR8" s="216"/>
      <c r="QUS8" s="216"/>
      <c r="QUT8" s="216"/>
      <c r="QUU8" s="216"/>
      <c r="QUV8" s="216"/>
      <c r="QUW8" s="216"/>
      <c r="QUX8" s="216"/>
      <c r="QUY8" s="216"/>
      <c r="QUZ8" s="216"/>
      <c r="QVA8" s="216"/>
      <c r="QVB8" s="216"/>
      <c r="QVC8" s="216"/>
      <c r="QVD8" s="216"/>
      <c r="QVE8" s="216"/>
      <c r="QVF8" s="216"/>
      <c r="QVG8" s="216"/>
      <c r="QVH8" s="216"/>
      <c r="QVI8" s="216"/>
      <c r="QVJ8" s="216"/>
      <c r="QVK8" s="216"/>
      <c r="QVL8" s="216"/>
      <c r="QVM8" s="216"/>
      <c r="QVN8" s="216"/>
      <c r="QVO8" s="216"/>
      <c r="QVP8" s="216"/>
      <c r="QVQ8" s="216"/>
      <c r="QVR8" s="216"/>
      <c r="QVS8" s="216"/>
      <c r="QVT8" s="216"/>
      <c r="QVU8" s="216"/>
      <c r="QVV8" s="216"/>
      <c r="QVW8" s="216"/>
      <c r="QVX8" s="216"/>
      <c r="QVY8" s="216"/>
      <c r="QVZ8" s="216"/>
      <c r="QWA8" s="216"/>
      <c r="QWB8" s="216"/>
      <c r="QWC8" s="216"/>
      <c r="QWD8" s="216"/>
      <c r="QWE8" s="216"/>
      <c r="QWF8" s="216"/>
      <c r="QWG8" s="216"/>
      <c r="QWH8" s="216"/>
      <c r="QWI8" s="216"/>
      <c r="QWJ8" s="216"/>
      <c r="QWK8" s="216"/>
      <c r="QWL8" s="216"/>
      <c r="QWM8" s="216"/>
      <c r="QWN8" s="216"/>
      <c r="QWO8" s="216"/>
      <c r="QWP8" s="216"/>
      <c r="QWQ8" s="216"/>
      <c r="QWR8" s="216"/>
      <c r="QWS8" s="216"/>
      <c r="QWT8" s="216"/>
      <c r="QWU8" s="216"/>
      <c r="QWV8" s="216"/>
      <c r="QWW8" s="216"/>
      <c r="QWX8" s="216"/>
      <c r="QWY8" s="216"/>
      <c r="QWZ8" s="216"/>
      <c r="QXA8" s="216"/>
      <c r="QXB8" s="216"/>
      <c r="QXC8" s="216"/>
      <c r="QXD8" s="216"/>
      <c r="QXE8" s="216"/>
      <c r="QXF8" s="216"/>
      <c r="QXG8" s="216"/>
      <c r="QXH8" s="216"/>
      <c r="QXI8" s="216"/>
      <c r="QXJ8" s="216"/>
      <c r="QXK8" s="216"/>
      <c r="QXL8" s="216"/>
      <c r="QXM8" s="216"/>
      <c r="QXN8" s="216"/>
      <c r="QXO8" s="216"/>
      <c r="QXP8" s="216"/>
      <c r="QXQ8" s="216"/>
      <c r="QXR8" s="216"/>
      <c r="QXS8" s="216"/>
      <c r="QXT8" s="216"/>
      <c r="QXU8" s="216"/>
      <c r="QXV8" s="216"/>
      <c r="QXW8" s="216"/>
      <c r="QXX8" s="216"/>
      <c r="QXY8" s="216"/>
      <c r="QXZ8" s="216"/>
      <c r="QYA8" s="216"/>
      <c r="QYB8" s="216"/>
      <c r="QYC8" s="216"/>
      <c r="QYD8" s="216"/>
      <c r="QYE8" s="216"/>
      <c r="QYF8" s="216"/>
      <c r="QYG8" s="216"/>
      <c r="QYH8" s="216"/>
      <c r="QYI8" s="216"/>
      <c r="QYJ8" s="216"/>
      <c r="QYK8" s="216"/>
      <c r="QYL8" s="216"/>
      <c r="QYM8" s="216"/>
      <c r="QYN8" s="216"/>
      <c r="QYO8" s="216"/>
      <c r="QYP8" s="216"/>
      <c r="QYQ8" s="216"/>
      <c r="QYR8" s="216"/>
      <c r="QYS8" s="216"/>
      <c r="QYT8" s="216"/>
      <c r="QYU8" s="216"/>
      <c r="QYV8" s="216"/>
      <c r="QYW8" s="216"/>
      <c r="QYX8" s="216"/>
      <c r="QYY8" s="216"/>
      <c r="QYZ8" s="216"/>
      <c r="QZA8" s="216"/>
      <c r="QZB8" s="216"/>
      <c r="QZC8" s="216"/>
      <c r="QZD8" s="216"/>
      <c r="QZE8" s="216"/>
      <c r="QZF8" s="216"/>
      <c r="QZG8" s="216"/>
      <c r="QZH8" s="216"/>
      <c r="QZI8" s="216"/>
      <c r="QZJ8" s="216"/>
      <c r="QZK8" s="216"/>
      <c r="QZL8" s="216"/>
      <c r="QZM8" s="216"/>
      <c r="QZN8" s="216"/>
      <c r="QZO8" s="216"/>
      <c r="QZP8" s="216"/>
      <c r="QZQ8" s="216"/>
      <c r="QZR8" s="216"/>
      <c r="QZS8" s="216"/>
      <c r="QZT8" s="216"/>
      <c r="QZU8" s="216"/>
      <c r="QZV8" s="216"/>
      <c r="QZW8" s="216"/>
      <c r="QZX8" s="216"/>
      <c r="QZY8" s="216"/>
      <c r="QZZ8" s="216"/>
      <c r="RAA8" s="216"/>
      <c r="RAB8" s="216"/>
      <c r="RAC8" s="216"/>
      <c r="RAD8" s="216"/>
      <c r="RAE8" s="216"/>
      <c r="RAF8" s="216"/>
      <c r="RAG8" s="216"/>
      <c r="RAH8" s="216"/>
      <c r="RAI8" s="216"/>
      <c r="RAJ8" s="216"/>
      <c r="RAK8" s="216"/>
      <c r="RAL8" s="216"/>
      <c r="RAM8" s="216"/>
      <c r="RAN8" s="216"/>
      <c r="RAO8" s="216"/>
      <c r="RAP8" s="216"/>
      <c r="RAQ8" s="216"/>
      <c r="RAR8" s="216"/>
      <c r="RAS8" s="216"/>
      <c r="RAT8" s="216"/>
      <c r="RAU8" s="216"/>
      <c r="RAV8" s="216"/>
      <c r="RAW8" s="216"/>
      <c r="RAX8" s="216"/>
      <c r="RAY8" s="216"/>
      <c r="RAZ8" s="216"/>
      <c r="RBA8" s="216"/>
      <c r="RBB8" s="216"/>
      <c r="RBC8" s="216"/>
      <c r="RBD8" s="216"/>
      <c r="RBE8" s="216"/>
      <c r="RBF8" s="216"/>
      <c r="RBG8" s="216"/>
      <c r="RBH8" s="216"/>
      <c r="RBI8" s="216"/>
      <c r="RBJ8" s="216"/>
      <c r="RBK8" s="216"/>
      <c r="RBL8" s="216"/>
      <c r="RBM8" s="216"/>
      <c r="RBN8" s="216"/>
      <c r="RBO8" s="216"/>
      <c r="RBP8" s="216"/>
      <c r="RBQ8" s="216"/>
      <c r="RBR8" s="216"/>
      <c r="RBS8" s="216"/>
      <c r="RBT8" s="216"/>
      <c r="RBU8" s="216"/>
      <c r="RBV8" s="216"/>
      <c r="RBW8" s="216"/>
      <c r="RBX8" s="216"/>
      <c r="RBY8" s="216"/>
      <c r="RBZ8" s="216"/>
      <c r="RCA8" s="216"/>
      <c r="RCB8" s="216"/>
      <c r="RCC8" s="216"/>
      <c r="RCD8" s="216"/>
      <c r="RCE8" s="216"/>
      <c r="RCF8" s="216"/>
      <c r="RCG8" s="216"/>
      <c r="RCH8" s="216"/>
      <c r="RCI8" s="216"/>
      <c r="RCJ8" s="216"/>
      <c r="RCK8" s="216"/>
      <c r="RCL8" s="216"/>
      <c r="RCM8" s="216"/>
      <c r="RCN8" s="216"/>
      <c r="RCO8" s="216"/>
      <c r="RCP8" s="216"/>
      <c r="RCQ8" s="216"/>
      <c r="RCR8" s="216"/>
      <c r="RCS8" s="216"/>
      <c r="RCT8" s="216"/>
      <c r="RCU8" s="216"/>
      <c r="RCV8" s="216"/>
      <c r="RCW8" s="216"/>
      <c r="RCX8" s="216"/>
      <c r="RCY8" s="216"/>
      <c r="RCZ8" s="216"/>
      <c r="RDA8" s="216"/>
      <c r="RDB8" s="216"/>
      <c r="RDC8" s="216"/>
      <c r="RDD8" s="216"/>
      <c r="RDE8" s="216"/>
      <c r="RDF8" s="216"/>
      <c r="RDG8" s="216"/>
      <c r="RDH8" s="216"/>
      <c r="RDI8" s="216"/>
      <c r="RDJ8" s="216"/>
      <c r="RDK8" s="216"/>
      <c r="RDL8" s="216"/>
      <c r="RDM8" s="216"/>
      <c r="RDN8" s="216"/>
      <c r="RDO8" s="216"/>
      <c r="RDP8" s="216"/>
      <c r="RDQ8" s="216"/>
      <c r="RDR8" s="216"/>
      <c r="RDS8" s="216"/>
      <c r="RDT8" s="216"/>
      <c r="RDU8" s="216"/>
      <c r="RDV8" s="216"/>
      <c r="RDW8" s="216"/>
      <c r="RDX8" s="216"/>
      <c r="RDY8" s="216"/>
      <c r="RDZ8" s="216"/>
      <c r="REA8" s="216"/>
      <c r="REB8" s="216"/>
      <c r="REC8" s="216"/>
      <c r="RED8" s="216"/>
      <c r="REE8" s="216"/>
      <c r="REF8" s="216"/>
      <c r="REG8" s="216"/>
      <c r="REH8" s="216"/>
      <c r="REI8" s="216"/>
      <c r="REJ8" s="216"/>
      <c r="REK8" s="216"/>
      <c r="REL8" s="216"/>
      <c r="REM8" s="216"/>
      <c r="REN8" s="216"/>
      <c r="REO8" s="216"/>
      <c r="REP8" s="216"/>
      <c r="REQ8" s="216"/>
      <c r="RER8" s="216"/>
      <c r="RES8" s="216"/>
      <c r="RET8" s="216"/>
      <c r="REU8" s="216"/>
      <c r="REV8" s="216"/>
      <c r="REW8" s="216"/>
      <c r="REX8" s="216"/>
      <c r="REY8" s="216"/>
      <c r="REZ8" s="216"/>
      <c r="RFA8" s="216"/>
      <c r="RFB8" s="216"/>
      <c r="RFC8" s="216"/>
      <c r="RFD8" s="216"/>
      <c r="RFE8" s="216"/>
      <c r="RFF8" s="216"/>
      <c r="RFG8" s="216"/>
      <c r="RFH8" s="216"/>
      <c r="RFI8" s="216"/>
      <c r="RFJ8" s="216"/>
      <c r="RFK8" s="216"/>
      <c r="RFL8" s="216"/>
      <c r="RFM8" s="216"/>
      <c r="RFN8" s="216"/>
      <c r="RFO8" s="216"/>
      <c r="RFP8" s="216"/>
      <c r="RFQ8" s="216"/>
      <c r="RFR8" s="216"/>
      <c r="RFS8" s="216"/>
      <c r="RFT8" s="216"/>
      <c r="RFU8" s="216"/>
      <c r="RFV8" s="216"/>
      <c r="RFW8" s="216"/>
      <c r="RFX8" s="216"/>
      <c r="RFY8" s="216"/>
      <c r="RFZ8" s="216"/>
      <c r="RGA8" s="216"/>
      <c r="RGB8" s="216"/>
      <c r="RGC8" s="216"/>
      <c r="RGD8" s="216"/>
      <c r="RGE8" s="216"/>
      <c r="RGF8" s="216"/>
      <c r="RGG8" s="216"/>
      <c r="RGH8" s="216"/>
      <c r="RGI8" s="216"/>
      <c r="RGJ8" s="216"/>
      <c r="RGK8" s="216"/>
      <c r="RGL8" s="216"/>
      <c r="RGM8" s="216"/>
      <c r="RGN8" s="216"/>
      <c r="RGO8" s="216"/>
      <c r="RGP8" s="216"/>
      <c r="RGQ8" s="216"/>
      <c r="RGR8" s="216"/>
      <c r="RGS8" s="216"/>
      <c r="RGT8" s="216"/>
      <c r="RGU8" s="216"/>
      <c r="RGV8" s="216"/>
      <c r="RGW8" s="216"/>
      <c r="RGX8" s="216"/>
      <c r="RGY8" s="216"/>
      <c r="RGZ8" s="216"/>
      <c r="RHA8" s="216"/>
      <c r="RHB8" s="216"/>
      <c r="RHC8" s="216"/>
      <c r="RHD8" s="216"/>
      <c r="RHE8" s="216"/>
      <c r="RHF8" s="216"/>
      <c r="RHG8" s="216"/>
      <c r="RHH8" s="216"/>
      <c r="RHI8" s="216"/>
      <c r="RHJ8" s="216"/>
      <c r="RHK8" s="216"/>
      <c r="RHL8" s="216"/>
      <c r="RHM8" s="216"/>
      <c r="RHN8" s="216"/>
      <c r="RHO8" s="216"/>
      <c r="RHP8" s="216"/>
      <c r="RHQ8" s="216"/>
      <c r="RHR8" s="216"/>
      <c r="RHS8" s="216"/>
      <c r="RHT8" s="216"/>
      <c r="RHU8" s="216"/>
      <c r="RHV8" s="216"/>
      <c r="RHW8" s="216"/>
      <c r="RHX8" s="216"/>
      <c r="RHY8" s="216"/>
      <c r="RHZ8" s="216"/>
      <c r="RIA8" s="216"/>
      <c r="RIB8" s="216"/>
      <c r="RIC8" s="216"/>
      <c r="RID8" s="216"/>
      <c r="RIE8" s="216"/>
      <c r="RIF8" s="216"/>
      <c r="RIG8" s="216"/>
      <c r="RIH8" s="216"/>
      <c r="RII8" s="216"/>
      <c r="RIJ8" s="216"/>
      <c r="RIK8" s="216"/>
      <c r="RIL8" s="216"/>
      <c r="RIM8" s="216"/>
      <c r="RIN8" s="216"/>
      <c r="RIO8" s="216"/>
      <c r="RIP8" s="216"/>
      <c r="RIQ8" s="216"/>
      <c r="RIR8" s="216"/>
      <c r="RIS8" s="216"/>
      <c r="RIT8" s="216"/>
      <c r="RIU8" s="216"/>
      <c r="RIV8" s="216"/>
      <c r="RIW8" s="216"/>
      <c r="RIX8" s="216"/>
      <c r="RIY8" s="216"/>
      <c r="RIZ8" s="216"/>
      <c r="RJA8" s="216"/>
      <c r="RJB8" s="216"/>
      <c r="RJC8" s="216"/>
      <c r="RJD8" s="216"/>
      <c r="RJE8" s="216"/>
      <c r="RJF8" s="216"/>
      <c r="RJG8" s="216"/>
      <c r="RJH8" s="216"/>
      <c r="RJI8" s="216"/>
      <c r="RJJ8" s="216"/>
      <c r="RJK8" s="216"/>
      <c r="RJL8" s="216"/>
      <c r="RJM8" s="216"/>
      <c r="RJN8" s="216"/>
      <c r="RJO8" s="216"/>
      <c r="RJP8" s="216"/>
      <c r="RJQ8" s="216"/>
      <c r="RJR8" s="216"/>
      <c r="RJS8" s="216"/>
      <c r="RJT8" s="216"/>
      <c r="RJU8" s="216"/>
      <c r="RJV8" s="216"/>
      <c r="RJW8" s="216"/>
      <c r="RJX8" s="216"/>
      <c r="RJY8" s="216"/>
      <c r="RJZ8" s="216"/>
      <c r="RKA8" s="216"/>
      <c r="RKB8" s="216"/>
      <c r="RKC8" s="216"/>
      <c r="RKD8" s="216"/>
      <c r="RKE8" s="216"/>
      <c r="RKF8" s="216"/>
      <c r="RKG8" s="216"/>
      <c r="RKH8" s="216"/>
      <c r="RKI8" s="216"/>
      <c r="RKJ8" s="216"/>
      <c r="RKK8" s="216"/>
      <c r="RKL8" s="216"/>
      <c r="RKM8" s="216"/>
      <c r="RKN8" s="216"/>
      <c r="RKO8" s="216"/>
      <c r="RKP8" s="216"/>
      <c r="RKQ8" s="216"/>
      <c r="RKR8" s="216"/>
      <c r="RKS8" s="216"/>
      <c r="RKT8" s="216"/>
      <c r="RKU8" s="216"/>
      <c r="RKV8" s="216"/>
      <c r="RKW8" s="216"/>
      <c r="RKX8" s="216"/>
      <c r="RKY8" s="216"/>
      <c r="RKZ8" s="216"/>
      <c r="RLA8" s="216"/>
      <c r="RLB8" s="216"/>
      <c r="RLC8" s="216"/>
      <c r="RLD8" s="216"/>
      <c r="RLE8" s="216"/>
      <c r="RLF8" s="216"/>
      <c r="RLG8" s="216"/>
      <c r="RLH8" s="216"/>
      <c r="RLI8" s="216"/>
      <c r="RLJ8" s="216"/>
      <c r="RLK8" s="216"/>
      <c r="RLL8" s="216"/>
      <c r="RLM8" s="216"/>
      <c r="RLN8" s="216"/>
      <c r="RLO8" s="216"/>
      <c r="RLP8" s="216"/>
      <c r="RLQ8" s="216"/>
      <c r="RLR8" s="216"/>
      <c r="RLS8" s="216"/>
      <c r="RLT8" s="216"/>
      <c r="RLU8" s="216"/>
      <c r="RLV8" s="216"/>
      <c r="RLW8" s="216"/>
      <c r="RLX8" s="216"/>
      <c r="RLY8" s="216"/>
      <c r="RLZ8" s="216"/>
      <c r="RMA8" s="216"/>
      <c r="RMB8" s="216"/>
      <c r="RMC8" s="216"/>
      <c r="RMD8" s="216"/>
      <c r="RME8" s="216"/>
      <c r="RMF8" s="216"/>
      <c r="RMG8" s="216"/>
      <c r="RMH8" s="216"/>
      <c r="RMI8" s="216"/>
      <c r="RMJ8" s="216"/>
      <c r="RMK8" s="216"/>
      <c r="RML8" s="216"/>
      <c r="RMM8" s="216"/>
      <c r="RMN8" s="216"/>
      <c r="RMO8" s="216"/>
      <c r="RMP8" s="216"/>
      <c r="RMQ8" s="216"/>
      <c r="RMR8" s="216"/>
      <c r="RMS8" s="216"/>
      <c r="RMT8" s="216"/>
      <c r="RMU8" s="216"/>
      <c r="RMV8" s="216"/>
      <c r="RMW8" s="216"/>
      <c r="RMX8" s="216"/>
      <c r="RMY8" s="216"/>
      <c r="RMZ8" s="216"/>
      <c r="RNA8" s="216"/>
      <c r="RNB8" s="216"/>
      <c r="RNC8" s="216"/>
      <c r="RND8" s="216"/>
      <c r="RNE8" s="216"/>
      <c r="RNF8" s="216"/>
      <c r="RNG8" s="216"/>
      <c r="RNH8" s="216"/>
      <c r="RNI8" s="216"/>
      <c r="RNJ8" s="216"/>
      <c r="RNK8" s="216"/>
      <c r="RNL8" s="216"/>
      <c r="RNM8" s="216"/>
      <c r="RNN8" s="216"/>
      <c r="RNO8" s="216"/>
      <c r="RNP8" s="216"/>
      <c r="RNQ8" s="216"/>
      <c r="RNR8" s="216"/>
      <c r="RNS8" s="216"/>
      <c r="RNT8" s="216"/>
      <c r="RNU8" s="216"/>
      <c r="RNV8" s="216"/>
      <c r="RNW8" s="216"/>
      <c r="RNX8" s="216"/>
      <c r="RNY8" s="216"/>
      <c r="RNZ8" s="216"/>
      <c r="ROA8" s="216"/>
      <c r="ROB8" s="216"/>
      <c r="ROC8" s="216"/>
      <c r="ROD8" s="216"/>
      <c r="ROE8" s="216"/>
      <c r="ROF8" s="216"/>
      <c r="ROG8" s="216"/>
      <c r="ROH8" s="216"/>
      <c r="ROI8" s="216"/>
      <c r="ROJ8" s="216"/>
      <c r="ROK8" s="216"/>
      <c r="ROL8" s="216"/>
      <c r="ROM8" s="216"/>
      <c r="RON8" s="216"/>
      <c r="ROO8" s="216"/>
      <c r="ROP8" s="216"/>
      <c r="ROQ8" s="216"/>
      <c r="ROR8" s="216"/>
      <c r="ROS8" s="216"/>
      <c r="ROT8" s="216"/>
      <c r="ROU8" s="216"/>
      <c r="ROV8" s="216"/>
      <c r="ROW8" s="216"/>
      <c r="ROX8" s="216"/>
      <c r="ROY8" s="216"/>
      <c r="ROZ8" s="216"/>
      <c r="RPA8" s="216"/>
      <c r="RPB8" s="216"/>
      <c r="RPC8" s="216"/>
      <c r="RPD8" s="216"/>
      <c r="RPE8" s="216"/>
      <c r="RPF8" s="216"/>
      <c r="RPG8" s="216"/>
      <c r="RPH8" s="216"/>
      <c r="RPI8" s="216"/>
      <c r="RPJ8" s="216"/>
      <c r="RPK8" s="216"/>
      <c r="RPL8" s="216"/>
      <c r="RPM8" s="216"/>
      <c r="RPN8" s="216"/>
      <c r="RPO8" s="216"/>
      <c r="RPP8" s="216"/>
      <c r="RPQ8" s="216"/>
      <c r="RPR8" s="216"/>
      <c r="RPS8" s="216"/>
      <c r="RPT8" s="216"/>
      <c r="RPU8" s="216"/>
      <c r="RPV8" s="216"/>
      <c r="RPW8" s="216"/>
      <c r="RPX8" s="216"/>
      <c r="RPY8" s="216"/>
      <c r="RPZ8" s="216"/>
      <c r="RQA8" s="216"/>
      <c r="RQB8" s="216"/>
      <c r="RQC8" s="216"/>
      <c r="RQD8" s="216"/>
      <c r="RQE8" s="216"/>
      <c r="RQF8" s="216"/>
      <c r="RQG8" s="216"/>
      <c r="RQH8" s="216"/>
      <c r="RQI8" s="216"/>
      <c r="RQJ8" s="216"/>
      <c r="RQK8" s="216"/>
      <c r="RQL8" s="216"/>
      <c r="RQM8" s="216"/>
      <c r="RQN8" s="216"/>
      <c r="RQO8" s="216"/>
      <c r="RQP8" s="216"/>
      <c r="RQQ8" s="216"/>
      <c r="RQR8" s="216"/>
      <c r="RQS8" s="216"/>
      <c r="RQT8" s="216"/>
      <c r="RQU8" s="216"/>
      <c r="RQV8" s="216"/>
      <c r="RQW8" s="216"/>
      <c r="RQX8" s="216"/>
      <c r="RQY8" s="216"/>
      <c r="RQZ8" s="216"/>
      <c r="RRA8" s="216"/>
      <c r="RRB8" s="216"/>
      <c r="RRC8" s="216"/>
      <c r="RRD8" s="216"/>
      <c r="RRE8" s="216"/>
      <c r="RRF8" s="216"/>
      <c r="RRG8" s="216"/>
      <c r="RRH8" s="216"/>
      <c r="RRI8" s="216"/>
      <c r="RRJ8" s="216"/>
      <c r="RRK8" s="216"/>
      <c r="RRL8" s="216"/>
      <c r="RRM8" s="216"/>
      <c r="RRN8" s="216"/>
      <c r="RRO8" s="216"/>
      <c r="RRP8" s="216"/>
      <c r="RRQ8" s="216"/>
      <c r="RRR8" s="216"/>
      <c r="RRS8" s="216"/>
      <c r="RRT8" s="216"/>
      <c r="RRU8" s="216"/>
      <c r="RRV8" s="216"/>
      <c r="RRW8" s="216"/>
      <c r="RRX8" s="216"/>
      <c r="RRY8" s="216"/>
      <c r="RRZ8" s="216"/>
      <c r="RSA8" s="216"/>
      <c r="RSB8" s="216"/>
      <c r="RSC8" s="216"/>
      <c r="RSD8" s="216"/>
      <c r="RSE8" s="216"/>
      <c r="RSF8" s="216"/>
      <c r="RSG8" s="216"/>
      <c r="RSH8" s="216"/>
      <c r="RSI8" s="216"/>
      <c r="RSJ8" s="216"/>
      <c r="RSK8" s="216"/>
      <c r="RSL8" s="216"/>
      <c r="RSM8" s="216"/>
      <c r="RSN8" s="216"/>
      <c r="RSO8" s="216"/>
      <c r="RSP8" s="216"/>
      <c r="RSQ8" s="216"/>
      <c r="RSR8" s="216"/>
      <c r="RSS8" s="216"/>
      <c r="RST8" s="216"/>
      <c r="RSU8" s="216"/>
      <c r="RSV8" s="216"/>
      <c r="RSW8" s="216"/>
      <c r="RSX8" s="216"/>
      <c r="RSY8" s="216"/>
      <c r="RSZ8" s="216"/>
      <c r="RTA8" s="216"/>
      <c r="RTB8" s="216"/>
      <c r="RTC8" s="216"/>
      <c r="RTD8" s="216"/>
      <c r="RTE8" s="216"/>
      <c r="RTF8" s="216"/>
      <c r="RTG8" s="216"/>
      <c r="RTH8" s="216"/>
      <c r="RTI8" s="216"/>
      <c r="RTJ8" s="216"/>
      <c r="RTK8" s="216"/>
      <c r="RTL8" s="216"/>
      <c r="RTM8" s="216"/>
      <c r="RTN8" s="216"/>
      <c r="RTO8" s="216"/>
      <c r="RTP8" s="216"/>
      <c r="RTQ8" s="216"/>
      <c r="RTR8" s="216"/>
      <c r="RTS8" s="216"/>
      <c r="RTT8" s="216"/>
      <c r="RTU8" s="216"/>
      <c r="RTV8" s="216"/>
      <c r="RTW8" s="216"/>
      <c r="RTX8" s="216"/>
      <c r="RTY8" s="216"/>
      <c r="RTZ8" s="216"/>
      <c r="RUA8" s="216"/>
      <c r="RUB8" s="216"/>
      <c r="RUC8" s="216"/>
      <c r="RUD8" s="216"/>
      <c r="RUE8" s="216"/>
      <c r="RUF8" s="216"/>
      <c r="RUG8" s="216"/>
      <c r="RUH8" s="216"/>
      <c r="RUI8" s="216"/>
      <c r="RUJ8" s="216"/>
      <c r="RUK8" s="216"/>
      <c r="RUL8" s="216"/>
      <c r="RUM8" s="216"/>
      <c r="RUN8" s="216"/>
      <c r="RUO8" s="216"/>
      <c r="RUP8" s="216"/>
      <c r="RUQ8" s="216"/>
      <c r="RUR8" s="216"/>
      <c r="RUS8" s="216"/>
      <c r="RUT8" s="216"/>
      <c r="RUU8" s="216"/>
      <c r="RUV8" s="216"/>
      <c r="RUW8" s="216"/>
      <c r="RUX8" s="216"/>
      <c r="RUY8" s="216"/>
      <c r="RUZ8" s="216"/>
      <c r="RVA8" s="216"/>
      <c r="RVB8" s="216"/>
      <c r="RVC8" s="216"/>
      <c r="RVD8" s="216"/>
      <c r="RVE8" s="216"/>
      <c r="RVF8" s="216"/>
      <c r="RVG8" s="216"/>
      <c r="RVH8" s="216"/>
      <c r="RVI8" s="216"/>
      <c r="RVJ8" s="216"/>
      <c r="RVK8" s="216"/>
      <c r="RVL8" s="216"/>
      <c r="RVM8" s="216"/>
      <c r="RVN8" s="216"/>
      <c r="RVO8" s="216"/>
      <c r="RVP8" s="216"/>
      <c r="RVQ8" s="216"/>
      <c r="RVR8" s="216"/>
      <c r="RVS8" s="216"/>
      <c r="RVT8" s="216"/>
      <c r="RVU8" s="216"/>
      <c r="RVV8" s="216"/>
      <c r="RVW8" s="216"/>
      <c r="RVX8" s="216"/>
      <c r="RVY8" s="216"/>
      <c r="RVZ8" s="216"/>
      <c r="RWA8" s="216"/>
      <c r="RWB8" s="216"/>
      <c r="RWC8" s="216"/>
      <c r="RWD8" s="216"/>
      <c r="RWE8" s="216"/>
      <c r="RWF8" s="216"/>
      <c r="RWG8" s="216"/>
      <c r="RWH8" s="216"/>
      <c r="RWI8" s="216"/>
      <c r="RWJ8" s="216"/>
      <c r="RWK8" s="216"/>
      <c r="RWL8" s="216"/>
      <c r="RWM8" s="216"/>
      <c r="RWN8" s="216"/>
      <c r="RWO8" s="216"/>
      <c r="RWP8" s="216"/>
      <c r="RWQ8" s="216"/>
      <c r="RWR8" s="216"/>
      <c r="RWS8" s="216"/>
      <c r="RWT8" s="216"/>
      <c r="RWU8" s="216"/>
      <c r="RWV8" s="216"/>
      <c r="RWW8" s="216"/>
      <c r="RWX8" s="216"/>
      <c r="RWY8" s="216"/>
      <c r="RWZ8" s="216"/>
      <c r="RXA8" s="216"/>
      <c r="RXB8" s="216"/>
      <c r="RXC8" s="216"/>
      <c r="RXD8" s="216"/>
      <c r="RXE8" s="216"/>
      <c r="RXF8" s="216"/>
      <c r="RXG8" s="216"/>
      <c r="RXH8" s="216"/>
      <c r="RXI8" s="216"/>
      <c r="RXJ8" s="216"/>
      <c r="RXK8" s="216"/>
      <c r="RXL8" s="216"/>
      <c r="RXM8" s="216"/>
      <c r="RXN8" s="216"/>
      <c r="RXO8" s="216"/>
      <c r="RXP8" s="216"/>
      <c r="RXQ8" s="216"/>
      <c r="RXR8" s="216"/>
      <c r="RXS8" s="216"/>
      <c r="RXT8" s="216"/>
      <c r="RXU8" s="216"/>
      <c r="RXV8" s="216"/>
      <c r="RXW8" s="216"/>
      <c r="RXX8" s="216"/>
      <c r="RXY8" s="216"/>
      <c r="RXZ8" s="216"/>
      <c r="RYA8" s="216"/>
      <c r="RYB8" s="216"/>
      <c r="RYC8" s="216"/>
      <c r="RYD8" s="216"/>
      <c r="RYE8" s="216"/>
      <c r="RYF8" s="216"/>
      <c r="RYG8" s="216"/>
      <c r="RYH8" s="216"/>
      <c r="RYI8" s="216"/>
      <c r="RYJ8" s="216"/>
      <c r="RYK8" s="216"/>
      <c r="RYL8" s="216"/>
      <c r="RYM8" s="216"/>
      <c r="RYN8" s="216"/>
      <c r="RYO8" s="216"/>
      <c r="RYP8" s="216"/>
      <c r="RYQ8" s="216"/>
      <c r="RYR8" s="216"/>
      <c r="RYS8" s="216"/>
      <c r="RYT8" s="216"/>
      <c r="RYU8" s="216"/>
      <c r="RYV8" s="216"/>
      <c r="RYW8" s="216"/>
      <c r="RYX8" s="216"/>
      <c r="RYY8" s="216"/>
      <c r="RYZ8" s="216"/>
      <c r="RZA8" s="216"/>
      <c r="RZB8" s="216"/>
      <c r="RZC8" s="216"/>
      <c r="RZD8" s="216"/>
      <c r="RZE8" s="216"/>
      <c r="RZF8" s="216"/>
      <c r="RZG8" s="216"/>
      <c r="RZH8" s="216"/>
      <c r="RZI8" s="216"/>
      <c r="RZJ8" s="216"/>
      <c r="RZK8" s="216"/>
      <c r="RZL8" s="216"/>
      <c r="RZM8" s="216"/>
      <c r="RZN8" s="216"/>
      <c r="RZO8" s="216"/>
      <c r="RZP8" s="216"/>
      <c r="RZQ8" s="216"/>
      <c r="RZR8" s="216"/>
      <c r="RZS8" s="216"/>
      <c r="RZT8" s="216"/>
      <c r="RZU8" s="216"/>
      <c r="RZV8" s="216"/>
      <c r="RZW8" s="216"/>
      <c r="RZX8" s="216"/>
      <c r="RZY8" s="216"/>
      <c r="RZZ8" s="216"/>
      <c r="SAA8" s="216"/>
      <c r="SAB8" s="216"/>
      <c r="SAC8" s="216"/>
      <c r="SAD8" s="216"/>
      <c r="SAE8" s="216"/>
      <c r="SAF8" s="216"/>
      <c r="SAG8" s="216"/>
      <c r="SAH8" s="216"/>
      <c r="SAI8" s="216"/>
      <c r="SAJ8" s="216"/>
      <c r="SAK8" s="216"/>
      <c r="SAL8" s="216"/>
      <c r="SAM8" s="216"/>
      <c r="SAN8" s="216"/>
      <c r="SAO8" s="216"/>
      <c r="SAP8" s="216"/>
      <c r="SAQ8" s="216"/>
      <c r="SAR8" s="216"/>
      <c r="SAS8" s="216"/>
      <c r="SAT8" s="216"/>
      <c r="SAU8" s="216"/>
      <c r="SAV8" s="216"/>
      <c r="SAW8" s="216"/>
      <c r="SAX8" s="216"/>
      <c r="SAY8" s="216"/>
      <c r="SAZ8" s="216"/>
      <c r="SBA8" s="216"/>
      <c r="SBB8" s="216"/>
      <c r="SBC8" s="216"/>
      <c r="SBD8" s="216"/>
      <c r="SBE8" s="216"/>
      <c r="SBF8" s="216"/>
      <c r="SBG8" s="216"/>
      <c r="SBH8" s="216"/>
      <c r="SBI8" s="216"/>
      <c r="SBJ8" s="216"/>
      <c r="SBK8" s="216"/>
      <c r="SBL8" s="216"/>
      <c r="SBM8" s="216"/>
      <c r="SBN8" s="216"/>
      <c r="SBO8" s="216"/>
      <c r="SBP8" s="216"/>
      <c r="SBQ8" s="216"/>
      <c r="SBR8" s="216"/>
      <c r="SBS8" s="216"/>
      <c r="SBT8" s="216"/>
      <c r="SBU8" s="216"/>
      <c r="SBV8" s="216"/>
      <c r="SBW8" s="216"/>
      <c r="SBX8" s="216"/>
      <c r="SBY8" s="216"/>
      <c r="SBZ8" s="216"/>
      <c r="SCA8" s="216"/>
      <c r="SCB8" s="216"/>
      <c r="SCC8" s="216"/>
      <c r="SCD8" s="216"/>
      <c r="SCE8" s="216"/>
      <c r="SCF8" s="216"/>
      <c r="SCG8" s="216"/>
      <c r="SCH8" s="216"/>
      <c r="SCI8" s="216"/>
      <c r="SCJ8" s="216"/>
      <c r="SCK8" s="216"/>
      <c r="SCL8" s="216"/>
      <c r="SCM8" s="216"/>
      <c r="SCN8" s="216"/>
      <c r="SCO8" s="216"/>
      <c r="SCP8" s="216"/>
      <c r="SCQ8" s="216"/>
      <c r="SCR8" s="216"/>
      <c r="SCS8" s="216"/>
      <c r="SCT8" s="216"/>
      <c r="SCU8" s="216"/>
      <c r="SCV8" s="216"/>
      <c r="SCW8" s="216"/>
      <c r="SCX8" s="216"/>
      <c r="SCY8" s="216"/>
      <c r="SCZ8" s="216"/>
      <c r="SDA8" s="216"/>
      <c r="SDB8" s="216"/>
      <c r="SDC8" s="216"/>
      <c r="SDD8" s="216"/>
      <c r="SDE8" s="216"/>
      <c r="SDF8" s="216"/>
      <c r="SDG8" s="216"/>
      <c r="SDH8" s="216"/>
      <c r="SDI8" s="216"/>
      <c r="SDJ8" s="216"/>
      <c r="SDK8" s="216"/>
      <c r="SDL8" s="216"/>
      <c r="SDM8" s="216"/>
      <c r="SDN8" s="216"/>
      <c r="SDO8" s="216"/>
      <c r="SDP8" s="216"/>
      <c r="SDQ8" s="216"/>
      <c r="SDR8" s="216"/>
      <c r="SDS8" s="216"/>
      <c r="SDT8" s="216"/>
      <c r="SDU8" s="216"/>
      <c r="SDV8" s="216"/>
      <c r="SDW8" s="216"/>
      <c r="SDX8" s="216"/>
      <c r="SDY8" s="216"/>
      <c r="SDZ8" s="216"/>
      <c r="SEA8" s="216"/>
      <c r="SEB8" s="216"/>
      <c r="SEC8" s="216"/>
      <c r="SED8" s="216"/>
      <c r="SEE8" s="216"/>
      <c r="SEF8" s="216"/>
      <c r="SEG8" s="216"/>
      <c r="SEH8" s="216"/>
      <c r="SEI8" s="216"/>
      <c r="SEJ8" s="216"/>
      <c r="SEK8" s="216"/>
      <c r="SEL8" s="216"/>
      <c r="SEM8" s="216"/>
      <c r="SEN8" s="216"/>
      <c r="SEO8" s="216"/>
      <c r="SEP8" s="216"/>
      <c r="SEQ8" s="216"/>
      <c r="SER8" s="216"/>
      <c r="SES8" s="216"/>
      <c r="SET8" s="216"/>
      <c r="SEU8" s="216"/>
      <c r="SEV8" s="216"/>
      <c r="SEW8" s="216"/>
      <c r="SEX8" s="216"/>
      <c r="SEY8" s="216"/>
      <c r="SEZ8" s="216"/>
      <c r="SFA8" s="216"/>
      <c r="SFB8" s="216"/>
      <c r="SFC8" s="216"/>
      <c r="SFD8" s="216"/>
      <c r="SFE8" s="216"/>
      <c r="SFF8" s="216"/>
      <c r="SFG8" s="216"/>
      <c r="SFH8" s="216"/>
      <c r="SFI8" s="216"/>
      <c r="SFJ8" s="216"/>
      <c r="SFK8" s="216"/>
      <c r="SFL8" s="216"/>
      <c r="SFM8" s="216"/>
      <c r="SFN8" s="216"/>
      <c r="SFO8" s="216"/>
      <c r="SFP8" s="216"/>
      <c r="SFQ8" s="216"/>
      <c r="SFR8" s="216"/>
      <c r="SFS8" s="216"/>
      <c r="SFT8" s="216"/>
      <c r="SFU8" s="216"/>
      <c r="SFV8" s="216"/>
      <c r="SFW8" s="216"/>
      <c r="SFX8" s="216"/>
      <c r="SFY8" s="216"/>
      <c r="SFZ8" s="216"/>
      <c r="SGA8" s="216"/>
      <c r="SGB8" s="216"/>
      <c r="SGC8" s="216"/>
      <c r="SGD8" s="216"/>
      <c r="SGE8" s="216"/>
      <c r="SGF8" s="216"/>
      <c r="SGG8" s="216"/>
      <c r="SGH8" s="216"/>
      <c r="SGI8" s="216"/>
      <c r="SGJ8" s="216"/>
      <c r="SGK8" s="216"/>
      <c r="SGL8" s="216"/>
      <c r="SGM8" s="216"/>
      <c r="SGN8" s="216"/>
      <c r="SGO8" s="216"/>
      <c r="SGP8" s="216"/>
      <c r="SGQ8" s="216"/>
      <c r="SGR8" s="216"/>
      <c r="SGS8" s="216"/>
      <c r="SGT8" s="216"/>
      <c r="SGU8" s="216"/>
      <c r="SGV8" s="216"/>
      <c r="SGW8" s="216"/>
      <c r="SGX8" s="216"/>
      <c r="SGY8" s="216"/>
      <c r="SGZ8" s="216"/>
      <c r="SHA8" s="216"/>
      <c r="SHB8" s="216"/>
      <c r="SHC8" s="216"/>
      <c r="SHD8" s="216"/>
      <c r="SHE8" s="216"/>
      <c r="SHF8" s="216"/>
      <c r="SHG8" s="216"/>
      <c r="SHH8" s="216"/>
      <c r="SHI8" s="216"/>
      <c r="SHJ8" s="216"/>
      <c r="SHK8" s="216"/>
      <c r="SHL8" s="216"/>
      <c r="SHM8" s="216"/>
      <c r="SHN8" s="216"/>
      <c r="SHO8" s="216"/>
      <c r="SHP8" s="216"/>
      <c r="SHQ8" s="216"/>
      <c r="SHR8" s="216"/>
      <c r="SHS8" s="216"/>
      <c r="SHT8" s="216"/>
      <c r="SHU8" s="216"/>
      <c r="SHV8" s="216"/>
      <c r="SHW8" s="216"/>
      <c r="SHX8" s="216"/>
      <c r="SHY8" s="216"/>
      <c r="SHZ8" s="216"/>
      <c r="SIA8" s="216"/>
      <c r="SIB8" s="216"/>
      <c r="SIC8" s="216"/>
      <c r="SID8" s="216"/>
      <c r="SIE8" s="216"/>
      <c r="SIF8" s="216"/>
      <c r="SIG8" s="216"/>
      <c r="SIH8" s="216"/>
      <c r="SII8" s="216"/>
      <c r="SIJ8" s="216"/>
      <c r="SIK8" s="216"/>
      <c r="SIL8" s="216"/>
      <c r="SIM8" s="216"/>
      <c r="SIN8" s="216"/>
      <c r="SIO8" s="216"/>
      <c r="SIP8" s="216"/>
      <c r="SIQ8" s="216"/>
      <c r="SIR8" s="216"/>
      <c r="SIS8" s="216"/>
      <c r="SIT8" s="216"/>
      <c r="SIU8" s="216"/>
      <c r="SIV8" s="216"/>
      <c r="SIW8" s="216"/>
      <c r="SIX8" s="216"/>
      <c r="SIY8" s="216"/>
      <c r="SIZ8" s="216"/>
      <c r="SJA8" s="216"/>
      <c r="SJB8" s="216"/>
      <c r="SJC8" s="216"/>
      <c r="SJD8" s="216"/>
      <c r="SJE8" s="216"/>
      <c r="SJF8" s="216"/>
      <c r="SJG8" s="216"/>
      <c r="SJH8" s="216"/>
      <c r="SJI8" s="216"/>
      <c r="SJJ8" s="216"/>
      <c r="SJK8" s="216"/>
      <c r="SJL8" s="216"/>
      <c r="SJM8" s="216"/>
      <c r="SJN8" s="216"/>
      <c r="SJO8" s="216"/>
      <c r="SJP8" s="216"/>
      <c r="SJQ8" s="216"/>
      <c r="SJR8" s="216"/>
      <c r="SJS8" s="216"/>
      <c r="SJT8" s="216"/>
      <c r="SJU8" s="216"/>
      <c r="SJV8" s="216"/>
      <c r="SJW8" s="216"/>
      <c r="SJX8" s="216"/>
      <c r="SJY8" s="216"/>
      <c r="SJZ8" s="216"/>
      <c r="SKA8" s="216"/>
      <c r="SKB8" s="216"/>
      <c r="SKC8" s="216"/>
      <c r="SKD8" s="216"/>
      <c r="SKE8" s="216"/>
      <c r="SKF8" s="216"/>
      <c r="SKG8" s="216"/>
      <c r="SKH8" s="216"/>
      <c r="SKI8" s="216"/>
      <c r="SKJ8" s="216"/>
      <c r="SKK8" s="216"/>
      <c r="SKL8" s="216"/>
      <c r="SKM8" s="216"/>
      <c r="SKN8" s="216"/>
      <c r="SKO8" s="216"/>
      <c r="SKP8" s="216"/>
      <c r="SKQ8" s="216"/>
      <c r="SKR8" s="216"/>
      <c r="SKS8" s="216"/>
      <c r="SKT8" s="216"/>
      <c r="SKU8" s="216"/>
      <c r="SKV8" s="216"/>
      <c r="SKW8" s="216"/>
      <c r="SKX8" s="216"/>
      <c r="SKY8" s="216"/>
      <c r="SKZ8" s="216"/>
      <c r="SLA8" s="216"/>
      <c r="SLB8" s="216"/>
      <c r="SLC8" s="216"/>
      <c r="SLD8" s="216"/>
      <c r="SLE8" s="216"/>
      <c r="SLF8" s="216"/>
      <c r="SLG8" s="216"/>
      <c r="SLH8" s="216"/>
      <c r="SLI8" s="216"/>
      <c r="SLJ8" s="216"/>
      <c r="SLK8" s="216"/>
      <c r="SLL8" s="216"/>
      <c r="SLM8" s="216"/>
      <c r="SLN8" s="216"/>
      <c r="SLO8" s="216"/>
      <c r="SLP8" s="216"/>
      <c r="SLQ8" s="216"/>
      <c r="SLR8" s="216"/>
      <c r="SLS8" s="216"/>
      <c r="SLT8" s="216"/>
      <c r="SLU8" s="216"/>
      <c r="SLV8" s="216"/>
      <c r="SLW8" s="216"/>
      <c r="SLX8" s="216"/>
      <c r="SLY8" s="216"/>
      <c r="SLZ8" s="216"/>
      <c r="SMA8" s="216"/>
      <c r="SMB8" s="216"/>
      <c r="SMC8" s="216"/>
      <c r="SMD8" s="216"/>
      <c r="SME8" s="216"/>
      <c r="SMF8" s="216"/>
      <c r="SMG8" s="216"/>
      <c r="SMH8" s="216"/>
      <c r="SMI8" s="216"/>
      <c r="SMJ8" s="216"/>
      <c r="SMK8" s="216"/>
      <c r="SML8" s="216"/>
      <c r="SMM8" s="216"/>
      <c r="SMN8" s="216"/>
      <c r="SMO8" s="216"/>
      <c r="SMP8" s="216"/>
      <c r="SMQ8" s="216"/>
      <c r="SMR8" s="216"/>
      <c r="SMS8" s="216"/>
      <c r="SMT8" s="216"/>
      <c r="SMU8" s="216"/>
      <c r="SMV8" s="216"/>
      <c r="SMW8" s="216"/>
      <c r="SMX8" s="216"/>
      <c r="SMY8" s="216"/>
      <c r="SMZ8" s="216"/>
      <c r="SNA8" s="216"/>
      <c r="SNB8" s="216"/>
      <c r="SNC8" s="216"/>
      <c r="SND8" s="216"/>
      <c r="SNE8" s="216"/>
      <c r="SNF8" s="216"/>
      <c r="SNG8" s="216"/>
      <c r="SNH8" s="216"/>
      <c r="SNI8" s="216"/>
      <c r="SNJ8" s="216"/>
      <c r="SNK8" s="216"/>
      <c r="SNL8" s="216"/>
      <c r="SNM8" s="216"/>
      <c r="SNN8" s="216"/>
      <c r="SNO8" s="216"/>
      <c r="SNP8" s="216"/>
      <c r="SNQ8" s="216"/>
      <c r="SNR8" s="216"/>
      <c r="SNS8" s="216"/>
      <c r="SNT8" s="216"/>
      <c r="SNU8" s="216"/>
      <c r="SNV8" s="216"/>
      <c r="SNW8" s="216"/>
      <c r="SNX8" s="216"/>
      <c r="SNY8" s="216"/>
      <c r="SNZ8" s="216"/>
      <c r="SOA8" s="216"/>
      <c r="SOB8" s="216"/>
      <c r="SOC8" s="216"/>
      <c r="SOD8" s="216"/>
      <c r="SOE8" s="216"/>
      <c r="SOF8" s="216"/>
      <c r="SOG8" s="216"/>
      <c r="SOH8" s="216"/>
      <c r="SOI8" s="216"/>
      <c r="SOJ8" s="216"/>
      <c r="SOK8" s="216"/>
      <c r="SOL8" s="216"/>
      <c r="SOM8" s="216"/>
      <c r="SON8" s="216"/>
      <c r="SOO8" s="216"/>
      <c r="SOP8" s="216"/>
      <c r="SOQ8" s="216"/>
      <c r="SOR8" s="216"/>
      <c r="SOS8" s="216"/>
      <c r="SOT8" s="216"/>
      <c r="SOU8" s="216"/>
      <c r="SOV8" s="216"/>
      <c r="SOW8" s="216"/>
      <c r="SOX8" s="216"/>
      <c r="SOY8" s="216"/>
      <c r="SOZ8" s="216"/>
      <c r="SPA8" s="216"/>
      <c r="SPB8" s="216"/>
      <c r="SPC8" s="216"/>
      <c r="SPD8" s="216"/>
      <c r="SPE8" s="216"/>
      <c r="SPF8" s="216"/>
      <c r="SPG8" s="216"/>
      <c r="SPH8" s="216"/>
      <c r="SPI8" s="216"/>
      <c r="SPJ8" s="216"/>
      <c r="SPK8" s="216"/>
      <c r="SPL8" s="216"/>
      <c r="SPM8" s="216"/>
      <c r="SPN8" s="216"/>
      <c r="SPO8" s="216"/>
      <c r="SPP8" s="216"/>
      <c r="SPQ8" s="216"/>
      <c r="SPR8" s="216"/>
      <c r="SPS8" s="216"/>
      <c r="SPT8" s="216"/>
      <c r="SPU8" s="216"/>
      <c r="SPV8" s="216"/>
      <c r="SPW8" s="216"/>
      <c r="SPX8" s="216"/>
      <c r="SPY8" s="216"/>
      <c r="SPZ8" s="216"/>
      <c r="SQA8" s="216"/>
      <c r="SQB8" s="216"/>
      <c r="SQC8" s="216"/>
      <c r="SQD8" s="216"/>
      <c r="SQE8" s="216"/>
      <c r="SQF8" s="216"/>
      <c r="SQG8" s="216"/>
      <c r="SQH8" s="216"/>
      <c r="SQI8" s="216"/>
      <c r="SQJ8" s="216"/>
      <c r="SQK8" s="216"/>
      <c r="SQL8" s="216"/>
      <c r="SQM8" s="216"/>
      <c r="SQN8" s="216"/>
      <c r="SQO8" s="216"/>
      <c r="SQP8" s="216"/>
      <c r="SQQ8" s="216"/>
      <c r="SQR8" s="216"/>
      <c r="SQS8" s="216"/>
      <c r="SQT8" s="216"/>
      <c r="SQU8" s="216"/>
      <c r="SQV8" s="216"/>
      <c r="SQW8" s="216"/>
      <c r="SQX8" s="216"/>
      <c r="SQY8" s="216"/>
      <c r="SQZ8" s="216"/>
      <c r="SRA8" s="216"/>
      <c r="SRB8" s="216"/>
      <c r="SRC8" s="216"/>
      <c r="SRD8" s="216"/>
      <c r="SRE8" s="216"/>
      <c r="SRF8" s="216"/>
      <c r="SRG8" s="216"/>
      <c r="SRH8" s="216"/>
      <c r="SRI8" s="216"/>
      <c r="SRJ8" s="216"/>
      <c r="SRK8" s="216"/>
      <c r="SRL8" s="216"/>
      <c r="SRM8" s="216"/>
      <c r="SRN8" s="216"/>
      <c r="SRO8" s="216"/>
      <c r="SRP8" s="216"/>
      <c r="SRQ8" s="216"/>
      <c r="SRR8" s="216"/>
      <c r="SRS8" s="216"/>
      <c r="SRT8" s="216"/>
      <c r="SRU8" s="216"/>
      <c r="SRV8" s="216"/>
      <c r="SRW8" s="216"/>
      <c r="SRX8" s="216"/>
      <c r="SRY8" s="216"/>
      <c r="SRZ8" s="216"/>
      <c r="SSA8" s="216"/>
      <c r="SSB8" s="216"/>
      <c r="SSC8" s="216"/>
      <c r="SSD8" s="216"/>
      <c r="SSE8" s="216"/>
      <c r="SSF8" s="216"/>
      <c r="SSG8" s="216"/>
      <c r="SSH8" s="216"/>
      <c r="SSI8" s="216"/>
      <c r="SSJ8" s="216"/>
      <c r="SSK8" s="216"/>
      <c r="SSL8" s="216"/>
      <c r="SSM8" s="216"/>
      <c r="SSN8" s="216"/>
      <c r="SSO8" s="216"/>
      <c r="SSP8" s="216"/>
      <c r="SSQ8" s="216"/>
      <c r="SSR8" s="216"/>
      <c r="SSS8" s="216"/>
      <c r="SST8" s="216"/>
      <c r="SSU8" s="216"/>
      <c r="SSV8" s="216"/>
      <c r="SSW8" s="216"/>
      <c r="SSX8" s="216"/>
      <c r="SSY8" s="216"/>
      <c r="SSZ8" s="216"/>
      <c r="STA8" s="216"/>
      <c r="STB8" s="216"/>
      <c r="STC8" s="216"/>
      <c r="STD8" s="216"/>
      <c r="STE8" s="216"/>
      <c r="STF8" s="216"/>
      <c r="STG8" s="216"/>
      <c r="STH8" s="216"/>
      <c r="STI8" s="216"/>
      <c r="STJ8" s="216"/>
      <c r="STK8" s="216"/>
      <c r="STL8" s="216"/>
      <c r="STM8" s="216"/>
      <c r="STN8" s="216"/>
      <c r="STO8" s="216"/>
      <c r="STP8" s="216"/>
      <c r="STQ8" s="216"/>
      <c r="STR8" s="216"/>
      <c r="STS8" s="216"/>
      <c r="STT8" s="216"/>
      <c r="STU8" s="216"/>
      <c r="STV8" s="216"/>
      <c r="STW8" s="216"/>
      <c r="STX8" s="216"/>
      <c r="STY8" s="216"/>
      <c r="STZ8" s="216"/>
      <c r="SUA8" s="216"/>
      <c r="SUB8" s="216"/>
      <c r="SUC8" s="216"/>
      <c r="SUD8" s="216"/>
      <c r="SUE8" s="216"/>
      <c r="SUF8" s="216"/>
      <c r="SUG8" s="216"/>
      <c r="SUH8" s="216"/>
      <c r="SUI8" s="216"/>
      <c r="SUJ8" s="216"/>
      <c r="SUK8" s="216"/>
      <c r="SUL8" s="216"/>
      <c r="SUM8" s="216"/>
      <c r="SUN8" s="216"/>
      <c r="SUO8" s="216"/>
      <c r="SUP8" s="216"/>
      <c r="SUQ8" s="216"/>
      <c r="SUR8" s="216"/>
      <c r="SUS8" s="216"/>
      <c r="SUT8" s="216"/>
      <c r="SUU8" s="216"/>
      <c r="SUV8" s="216"/>
      <c r="SUW8" s="216"/>
      <c r="SUX8" s="216"/>
      <c r="SUY8" s="216"/>
      <c r="SUZ8" s="216"/>
      <c r="SVA8" s="216"/>
      <c r="SVB8" s="216"/>
      <c r="SVC8" s="216"/>
      <c r="SVD8" s="216"/>
      <c r="SVE8" s="216"/>
      <c r="SVF8" s="216"/>
      <c r="SVG8" s="216"/>
      <c r="SVH8" s="216"/>
      <c r="SVI8" s="216"/>
      <c r="SVJ8" s="216"/>
      <c r="SVK8" s="216"/>
      <c r="SVL8" s="216"/>
      <c r="SVM8" s="216"/>
      <c r="SVN8" s="216"/>
      <c r="SVO8" s="216"/>
      <c r="SVP8" s="216"/>
      <c r="SVQ8" s="216"/>
      <c r="SVR8" s="216"/>
      <c r="SVS8" s="216"/>
      <c r="SVT8" s="216"/>
      <c r="SVU8" s="216"/>
      <c r="SVV8" s="216"/>
      <c r="SVW8" s="216"/>
      <c r="SVX8" s="216"/>
      <c r="SVY8" s="216"/>
      <c r="SVZ8" s="216"/>
      <c r="SWA8" s="216"/>
      <c r="SWB8" s="216"/>
      <c r="SWC8" s="216"/>
      <c r="SWD8" s="216"/>
      <c r="SWE8" s="216"/>
      <c r="SWF8" s="216"/>
      <c r="SWG8" s="216"/>
      <c r="SWH8" s="216"/>
      <c r="SWI8" s="216"/>
      <c r="SWJ8" s="216"/>
      <c r="SWK8" s="216"/>
      <c r="SWL8" s="216"/>
      <c r="SWM8" s="216"/>
      <c r="SWN8" s="216"/>
      <c r="SWO8" s="216"/>
      <c r="SWP8" s="216"/>
      <c r="SWQ8" s="216"/>
      <c r="SWR8" s="216"/>
      <c r="SWS8" s="216"/>
      <c r="SWT8" s="216"/>
      <c r="SWU8" s="216"/>
      <c r="SWV8" s="216"/>
      <c r="SWW8" s="216"/>
      <c r="SWX8" s="216"/>
      <c r="SWY8" s="216"/>
      <c r="SWZ8" s="216"/>
      <c r="SXA8" s="216"/>
      <c r="SXB8" s="216"/>
      <c r="SXC8" s="216"/>
      <c r="SXD8" s="216"/>
      <c r="SXE8" s="216"/>
      <c r="SXF8" s="216"/>
      <c r="SXG8" s="216"/>
      <c r="SXH8" s="216"/>
      <c r="SXI8" s="216"/>
      <c r="SXJ8" s="216"/>
      <c r="SXK8" s="216"/>
      <c r="SXL8" s="216"/>
      <c r="SXM8" s="216"/>
      <c r="SXN8" s="216"/>
      <c r="SXO8" s="216"/>
      <c r="SXP8" s="216"/>
      <c r="SXQ8" s="216"/>
      <c r="SXR8" s="216"/>
      <c r="SXS8" s="216"/>
      <c r="SXT8" s="216"/>
      <c r="SXU8" s="216"/>
      <c r="SXV8" s="216"/>
      <c r="SXW8" s="216"/>
      <c r="SXX8" s="216"/>
      <c r="SXY8" s="216"/>
      <c r="SXZ8" s="216"/>
      <c r="SYA8" s="216"/>
      <c r="SYB8" s="216"/>
      <c r="SYC8" s="216"/>
      <c r="SYD8" s="216"/>
      <c r="SYE8" s="216"/>
      <c r="SYF8" s="216"/>
      <c r="SYG8" s="216"/>
      <c r="SYH8" s="216"/>
      <c r="SYI8" s="216"/>
      <c r="SYJ8" s="216"/>
      <c r="SYK8" s="216"/>
      <c r="SYL8" s="216"/>
      <c r="SYM8" s="216"/>
      <c r="SYN8" s="216"/>
      <c r="SYO8" s="216"/>
      <c r="SYP8" s="216"/>
      <c r="SYQ8" s="216"/>
      <c r="SYR8" s="216"/>
      <c r="SYS8" s="216"/>
      <c r="SYT8" s="216"/>
      <c r="SYU8" s="216"/>
      <c r="SYV8" s="216"/>
      <c r="SYW8" s="216"/>
      <c r="SYX8" s="216"/>
      <c r="SYY8" s="216"/>
      <c r="SYZ8" s="216"/>
      <c r="SZA8" s="216"/>
      <c r="SZB8" s="216"/>
      <c r="SZC8" s="216"/>
      <c r="SZD8" s="216"/>
      <c r="SZE8" s="216"/>
      <c r="SZF8" s="216"/>
      <c r="SZG8" s="216"/>
      <c r="SZH8" s="216"/>
      <c r="SZI8" s="216"/>
      <c r="SZJ8" s="216"/>
      <c r="SZK8" s="216"/>
      <c r="SZL8" s="216"/>
      <c r="SZM8" s="216"/>
      <c r="SZN8" s="216"/>
      <c r="SZO8" s="216"/>
      <c r="SZP8" s="216"/>
      <c r="SZQ8" s="216"/>
      <c r="SZR8" s="216"/>
      <c r="SZS8" s="216"/>
      <c r="SZT8" s="216"/>
      <c r="SZU8" s="216"/>
      <c r="SZV8" s="216"/>
      <c r="SZW8" s="216"/>
      <c r="SZX8" s="216"/>
      <c r="SZY8" s="216"/>
      <c r="SZZ8" s="216"/>
      <c r="TAA8" s="216"/>
      <c r="TAB8" s="216"/>
      <c r="TAC8" s="216"/>
      <c r="TAD8" s="216"/>
      <c r="TAE8" s="216"/>
      <c r="TAF8" s="216"/>
      <c r="TAG8" s="216"/>
      <c r="TAH8" s="216"/>
      <c r="TAI8" s="216"/>
      <c r="TAJ8" s="216"/>
      <c r="TAK8" s="216"/>
      <c r="TAL8" s="216"/>
      <c r="TAM8" s="216"/>
      <c r="TAN8" s="216"/>
      <c r="TAO8" s="216"/>
      <c r="TAP8" s="216"/>
      <c r="TAQ8" s="216"/>
      <c r="TAR8" s="216"/>
      <c r="TAS8" s="216"/>
      <c r="TAT8" s="216"/>
      <c r="TAU8" s="216"/>
      <c r="TAV8" s="216"/>
      <c r="TAW8" s="216"/>
      <c r="TAX8" s="216"/>
      <c r="TAY8" s="216"/>
      <c r="TAZ8" s="216"/>
      <c r="TBA8" s="216"/>
      <c r="TBB8" s="216"/>
      <c r="TBC8" s="216"/>
      <c r="TBD8" s="216"/>
      <c r="TBE8" s="216"/>
      <c r="TBF8" s="216"/>
      <c r="TBG8" s="216"/>
      <c r="TBH8" s="216"/>
      <c r="TBI8" s="216"/>
      <c r="TBJ8" s="216"/>
      <c r="TBK8" s="216"/>
      <c r="TBL8" s="216"/>
      <c r="TBM8" s="216"/>
      <c r="TBN8" s="216"/>
      <c r="TBO8" s="216"/>
      <c r="TBP8" s="216"/>
      <c r="TBQ8" s="216"/>
      <c r="TBR8" s="216"/>
      <c r="TBS8" s="216"/>
      <c r="TBT8" s="216"/>
      <c r="TBU8" s="216"/>
      <c r="TBV8" s="216"/>
      <c r="TBW8" s="216"/>
      <c r="TBX8" s="216"/>
      <c r="TBY8" s="216"/>
      <c r="TBZ8" s="216"/>
      <c r="TCA8" s="216"/>
      <c r="TCB8" s="216"/>
      <c r="TCC8" s="216"/>
      <c r="TCD8" s="216"/>
      <c r="TCE8" s="216"/>
      <c r="TCF8" s="216"/>
      <c r="TCG8" s="216"/>
      <c r="TCH8" s="216"/>
      <c r="TCI8" s="216"/>
      <c r="TCJ8" s="216"/>
      <c r="TCK8" s="216"/>
      <c r="TCL8" s="216"/>
      <c r="TCM8" s="216"/>
      <c r="TCN8" s="216"/>
      <c r="TCO8" s="216"/>
      <c r="TCP8" s="216"/>
      <c r="TCQ8" s="216"/>
      <c r="TCR8" s="216"/>
      <c r="TCS8" s="216"/>
      <c r="TCT8" s="216"/>
      <c r="TCU8" s="216"/>
      <c r="TCV8" s="216"/>
      <c r="TCW8" s="216"/>
      <c r="TCX8" s="216"/>
      <c r="TCY8" s="216"/>
      <c r="TCZ8" s="216"/>
      <c r="TDA8" s="216"/>
      <c r="TDB8" s="216"/>
      <c r="TDC8" s="216"/>
      <c r="TDD8" s="216"/>
      <c r="TDE8" s="216"/>
      <c r="TDF8" s="216"/>
      <c r="TDG8" s="216"/>
      <c r="TDH8" s="216"/>
      <c r="TDI8" s="216"/>
      <c r="TDJ8" s="216"/>
      <c r="TDK8" s="216"/>
      <c r="TDL8" s="216"/>
      <c r="TDM8" s="216"/>
      <c r="TDN8" s="216"/>
      <c r="TDO8" s="216"/>
      <c r="TDP8" s="216"/>
      <c r="TDQ8" s="216"/>
      <c r="TDR8" s="216"/>
      <c r="TDS8" s="216"/>
      <c r="TDT8" s="216"/>
      <c r="TDU8" s="216"/>
      <c r="TDV8" s="216"/>
      <c r="TDW8" s="216"/>
      <c r="TDX8" s="216"/>
      <c r="TDY8" s="216"/>
      <c r="TDZ8" s="216"/>
      <c r="TEA8" s="216"/>
      <c r="TEB8" s="216"/>
      <c r="TEC8" s="216"/>
      <c r="TED8" s="216"/>
      <c r="TEE8" s="216"/>
      <c r="TEF8" s="216"/>
      <c r="TEG8" s="216"/>
      <c r="TEH8" s="216"/>
      <c r="TEI8" s="216"/>
      <c r="TEJ8" s="216"/>
      <c r="TEK8" s="216"/>
      <c r="TEL8" s="216"/>
      <c r="TEM8" s="216"/>
      <c r="TEN8" s="216"/>
      <c r="TEO8" s="216"/>
      <c r="TEP8" s="216"/>
      <c r="TEQ8" s="216"/>
      <c r="TER8" s="216"/>
      <c r="TES8" s="216"/>
      <c r="TET8" s="216"/>
      <c r="TEU8" s="216"/>
      <c r="TEV8" s="216"/>
      <c r="TEW8" s="216"/>
      <c r="TEX8" s="216"/>
      <c r="TEY8" s="216"/>
      <c r="TEZ8" s="216"/>
      <c r="TFA8" s="216"/>
      <c r="TFB8" s="216"/>
      <c r="TFC8" s="216"/>
      <c r="TFD8" s="216"/>
      <c r="TFE8" s="216"/>
      <c r="TFF8" s="216"/>
      <c r="TFG8" s="216"/>
      <c r="TFH8" s="216"/>
      <c r="TFI8" s="216"/>
      <c r="TFJ8" s="216"/>
      <c r="TFK8" s="216"/>
      <c r="TFL8" s="216"/>
      <c r="TFM8" s="216"/>
      <c r="TFN8" s="216"/>
      <c r="TFO8" s="216"/>
      <c r="TFP8" s="216"/>
      <c r="TFQ8" s="216"/>
      <c r="TFR8" s="216"/>
      <c r="TFS8" s="216"/>
      <c r="TFT8" s="216"/>
      <c r="TFU8" s="216"/>
      <c r="TFV8" s="216"/>
      <c r="TFW8" s="216"/>
      <c r="TFX8" s="216"/>
      <c r="TFY8" s="216"/>
      <c r="TFZ8" s="216"/>
      <c r="TGA8" s="216"/>
      <c r="TGB8" s="216"/>
      <c r="TGC8" s="216"/>
      <c r="TGD8" s="216"/>
      <c r="TGE8" s="216"/>
      <c r="TGF8" s="216"/>
      <c r="TGG8" s="216"/>
      <c r="TGH8" s="216"/>
      <c r="TGI8" s="216"/>
      <c r="TGJ8" s="216"/>
      <c r="TGK8" s="216"/>
      <c r="TGL8" s="216"/>
      <c r="TGM8" s="216"/>
      <c r="TGN8" s="216"/>
      <c r="TGO8" s="216"/>
      <c r="TGP8" s="216"/>
      <c r="TGQ8" s="216"/>
      <c r="TGR8" s="216"/>
      <c r="TGS8" s="216"/>
      <c r="TGT8" s="216"/>
      <c r="TGU8" s="216"/>
      <c r="TGV8" s="216"/>
      <c r="TGW8" s="216"/>
      <c r="TGX8" s="216"/>
      <c r="TGY8" s="216"/>
      <c r="TGZ8" s="216"/>
      <c r="THA8" s="216"/>
      <c r="THB8" s="216"/>
      <c r="THC8" s="216"/>
      <c r="THD8" s="216"/>
      <c r="THE8" s="216"/>
      <c r="THF8" s="216"/>
      <c r="THG8" s="216"/>
      <c r="THH8" s="216"/>
      <c r="THI8" s="216"/>
      <c r="THJ8" s="216"/>
      <c r="THK8" s="216"/>
      <c r="THL8" s="216"/>
      <c r="THM8" s="216"/>
      <c r="THN8" s="216"/>
      <c r="THO8" s="216"/>
      <c r="THP8" s="216"/>
      <c r="THQ8" s="216"/>
      <c r="THR8" s="216"/>
      <c r="THS8" s="216"/>
      <c r="THT8" s="216"/>
      <c r="THU8" s="216"/>
      <c r="THV8" s="216"/>
      <c r="THW8" s="216"/>
      <c r="THX8" s="216"/>
      <c r="THY8" s="216"/>
      <c r="THZ8" s="216"/>
      <c r="TIA8" s="216"/>
      <c r="TIB8" s="216"/>
      <c r="TIC8" s="216"/>
      <c r="TID8" s="216"/>
      <c r="TIE8" s="216"/>
      <c r="TIF8" s="216"/>
      <c r="TIG8" s="216"/>
      <c r="TIH8" s="216"/>
      <c r="TII8" s="216"/>
      <c r="TIJ8" s="216"/>
      <c r="TIK8" s="216"/>
      <c r="TIL8" s="216"/>
      <c r="TIM8" s="216"/>
      <c r="TIN8" s="216"/>
      <c r="TIO8" s="216"/>
      <c r="TIP8" s="216"/>
      <c r="TIQ8" s="216"/>
      <c r="TIR8" s="216"/>
      <c r="TIS8" s="216"/>
      <c r="TIT8" s="216"/>
      <c r="TIU8" s="216"/>
      <c r="TIV8" s="216"/>
      <c r="TIW8" s="216"/>
      <c r="TIX8" s="216"/>
      <c r="TIY8" s="216"/>
      <c r="TIZ8" s="216"/>
      <c r="TJA8" s="216"/>
      <c r="TJB8" s="216"/>
      <c r="TJC8" s="216"/>
      <c r="TJD8" s="216"/>
      <c r="TJE8" s="216"/>
      <c r="TJF8" s="216"/>
      <c r="TJG8" s="216"/>
      <c r="TJH8" s="216"/>
      <c r="TJI8" s="216"/>
      <c r="TJJ8" s="216"/>
      <c r="TJK8" s="216"/>
      <c r="TJL8" s="216"/>
      <c r="TJM8" s="216"/>
      <c r="TJN8" s="216"/>
      <c r="TJO8" s="216"/>
      <c r="TJP8" s="216"/>
      <c r="TJQ8" s="216"/>
      <c r="TJR8" s="216"/>
      <c r="TJS8" s="216"/>
      <c r="TJT8" s="216"/>
      <c r="TJU8" s="216"/>
      <c r="TJV8" s="216"/>
      <c r="TJW8" s="216"/>
      <c r="TJX8" s="216"/>
      <c r="TJY8" s="216"/>
      <c r="TJZ8" s="216"/>
      <c r="TKA8" s="216"/>
      <c r="TKB8" s="216"/>
      <c r="TKC8" s="216"/>
      <c r="TKD8" s="216"/>
      <c r="TKE8" s="216"/>
      <c r="TKF8" s="216"/>
      <c r="TKG8" s="216"/>
      <c r="TKH8" s="216"/>
      <c r="TKI8" s="216"/>
      <c r="TKJ8" s="216"/>
      <c r="TKK8" s="216"/>
      <c r="TKL8" s="216"/>
      <c r="TKM8" s="216"/>
      <c r="TKN8" s="216"/>
      <c r="TKO8" s="216"/>
      <c r="TKP8" s="216"/>
      <c r="TKQ8" s="216"/>
      <c r="TKR8" s="216"/>
      <c r="TKS8" s="216"/>
      <c r="TKT8" s="216"/>
      <c r="TKU8" s="216"/>
      <c r="TKV8" s="216"/>
      <c r="TKW8" s="216"/>
      <c r="TKX8" s="216"/>
      <c r="TKY8" s="216"/>
      <c r="TKZ8" s="216"/>
      <c r="TLA8" s="216"/>
      <c r="TLB8" s="216"/>
      <c r="TLC8" s="216"/>
      <c r="TLD8" s="216"/>
      <c r="TLE8" s="216"/>
      <c r="TLF8" s="216"/>
      <c r="TLG8" s="216"/>
      <c r="TLH8" s="216"/>
      <c r="TLI8" s="216"/>
      <c r="TLJ8" s="216"/>
      <c r="TLK8" s="216"/>
      <c r="TLL8" s="216"/>
      <c r="TLM8" s="216"/>
      <c r="TLN8" s="216"/>
      <c r="TLO8" s="216"/>
      <c r="TLP8" s="216"/>
      <c r="TLQ8" s="216"/>
      <c r="TLR8" s="216"/>
      <c r="TLS8" s="216"/>
      <c r="TLT8" s="216"/>
      <c r="TLU8" s="216"/>
      <c r="TLV8" s="216"/>
      <c r="TLW8" s="216"/>
      <c r="TLX8" s="216"/>
      <c r="TLY8" s="216"/>
      <c r="TLZ8" s="216"/>
      <c r="TMA8" s="216"/>
      <c r="TMB8" s="216"/>
      <c r="TMC8" s="216"/>
      <c r="TMD8" s="216"/>
      <c r="TME8" s="216"/>
      <c r="TMF8" s="216"/>
      <c r="TMG8" s="216"/>
      <c r="TMH8" s="216"/>
      <c r="TMI8" s="216"/>
      <c r="TMJ8" s="216"/>
      <c r="TMK8" s="216"/>
      <c r="TML8" s="216"/>
      <c r="TMM8" s="216"/>
      <c r="TMN8" s="216"/>
      <c r="TMO8" s="216"/>
      <c r="TMP8" s="216"/>
      <c r="TMQ8" s="216"/>
      <c r="TMR8" s="216"/>
      <c r="TMS8" s="216"/>
      <c r="TMT8" s="216"/>
      <c r="TMU8" s="216"/>
      <c r="TMV8" s="216"/>
      <c r="TMW8" s="216"/>
      <c r="TMX8" s="216"/>
      <c r="TMY8" s="216"/>
      <c r="TMZ8" s="216"/>
      <c r="TNA8" s="216"/>
      <c r="TNB8" s="216"/>
      <c r="TNC8" s="216"/>
      <c r="TND8" s="216"/>
      <c r="TNE8" s="216"/>
      <c r="TNF8" s="216"/>
      <c r="TNG8" s="216"/>
      <c r="TNH8" s="216"/>
      <c r="TNI8" s="216"/>
      <c r="TNJ8" s="216"/>
      <c r="TNK8" s="216"/>
      <c r="TNL8" s="216"/>
      <c r="TNM8" s="216"/>
      <c r="TNN8" s="216"/>
      <c r="TNO8" s="216"/>
      <c r="TNP8" s="216"/>
      <c r="TNQ8" s="216"/>
      <c r="TNR8" s="216"/>
      <c r="TNS8" s="216"/>
      <c r="TNT8" s="216"/>
      <c r="TNU8" s="216"/>
      <c r="TNV8" s="216"/>
      <c r="TNW8" s="216"/>
      <c r="TNX8" s="216"/>
      <c r="TNY8" s="216"/>
      <c r="TNZ8" s="216"/>
      <c r="TOA8" s="216"/>
      <c r="TOB8" s="216"/>
      <c r="TOC8" s="216"/>
      <c r="TOD8" s="216"/>
      <c r="TOE8" s="216"/>
      <c r="TOF8" s="216"/>
      <c r="TOG8" s="216"/>
      <c r="TOH8" s="216"/>
      <c r="TOI8" s="216"/>
      <c r="TOJ8" s="216"/>
      <c r="TOK8" s="216"/>
      <c r="TOL8" s="216"/>
      <c r="TOM8" s="216"/>
      <c r="TON8" s="216"/>
      <c r="TOO8" s="216"/>
      <c r="TOP8" s="216"/>
      <c r="TOQ8" s="216"/>
      <c r="TOR8" s="216"/>
      <c r="TOS8" s="216"/>
      <c r="TOT8" s="216"/>
      <c r="TOU8" s="216"/>
      <c r="TOV8" s="216"/>
      <c r="TOW8" s="216"/>
      <c r="TOX8" s="216"/>
      <c r="TOY8" s="216"/>
      <c r="TOZ8" s="216"/>
      <c r="TPA8" s="216"/>
      <c r="TPB8" s="216"/>
      <c r="TPC8" s="216"/>
      <c r="TPD8" s="216"/>
      <c r="TPE8" s="216"/>
      <c r="TPF8" s="216"/>
      <c r="TPG8" s="216"/>
      <c r="TPH8" s="216"/>
      <c r="TPI8" s="216"/>
      <c r="TPJ8" s="216"/>
      <c r="TPK8" s="216"/>
      <c r="TPL8" s="216"/>
      <c r="TPM8" s="216"/>
      <c r="TPN8" s="216"/>
      <c r="TPO8" s="216"/>
      <c r="TPP8" s="216"/>
      <c r="TPQ8" s="216"/>
      <c r="TPR8" s="216"/>
      <c r="TPS8" s="216"/>
      <c r="TPT8" s="216"/>
      <c r="TPU8" s="216"/>
      <c r="TPV8" s="216"/>
      <c r="TPW8" s="216"/>
      <c r="TPX8" s="216"/>
      <c r="TPY8" s="216"/>
      <c r="TPZ8" s="216"/>
      <c r="TQA8" s="216"/>
      <c r="TQB8" s="216"/>
      <c r="TQC8" s="216"/>
      <c r="TQD8" s="216"/>
      <c r="TQE8" s="216"/>
      <c r="TQF8" s="216"/>
      <c r="TQG8" s="216"/>
      <c r="TQH8" s="216"/>
      <c r="TQI8" s="216"/>
      <c r="TQJ8" s="216"/>
      <c r="TQK8" s="216"/>
      <c r="TQL8" s="216"/>
      <c r="TQM8" s="216"/>
      <c r="TQN8" s="216"/>
      <c r="TQO8" s="216"/>
      <c r="TQP8" s="216"/>
      <c r="TQQ8" s="216"/>
      <c r="TQR8" s="216"/>
      <c r="TQS8" s="216"/>
      <c r="TQT8" s="216"/>
      <c r="TQU8" s="216"/>
      <c r="TQV8" s="216"/>
      <c r="TQW8" s="216"/>
      <c r="TQX8" s="216"/>
      <c r="TQY8" s="216"/>
      <c r="TQZ8" s="216"/>
      <c r="TRA8" s="216"/>
      <c r="TRB8" s="216"/>
      <c r="TRC8" s="216"/>
      <c r="TRD8" s="216"/>
      <c r="TRE8" s="216"/>
      <c r="TRF8" s="216"/>
      <c r="TRG8" s="216"/>
      <c r="TRH8" s="216"/>
      <c r="TRI8" s="216"/>
      <c r="TRJ8" s="216"/>
      <c r="TRK8" s="216"/>
      <c r="TRL8" s="216"/>
      <c r="TRM8" s="216"/>
      <c r="TRN8" s="216"/>
      <c r="TRO8" s="216"/>
      <c r="TRP8" s="216"/>
      <c r="TRQ8" s="216"/>
      <c r="TRR8" s="216"/>
      <c r="TRS8" s="216"/>
      <c r="TRT8" s="216"/>
      <c r="TRU8" s="216"/>
      <c r="TRV8" s="216"/>
      <c r="TRW8" s="216"/>
      <c r="TRX8" s="216"/>
      <c r="TRY8" s="216"/>
      <c r="TRZ8" s="216"/>
      <c r="TSA8" s="216"/>
      <c r="TSB8" s="216"/>
      <c r="TSC8" s="216"/>
      <c r="TSD8" s="216"/>
      <c r="TSE8" s="216"/>
      <c r="TSF8" s="216"/>
      <c r="TSG8" s="216"/>
      <c r="TSH8" s="216"/>
      <c r="TSI8" s="216"/>
      <c r="TSJ8" s="216"/>
      <c r="TSK8" s="216"/>
      <c r="TSL8" s="216"/>
      <c r="TSM8" s="216"/>
      <c r="TSN8" s="216"/>
      <c r="TSO8" s="216"/>
      <c r="TSP8" s="216"/>
      <c r="TSQ8" s="216"/>
      <c r="TSR8" s="216"/>
      <c r="TSS8" s="216"/>
      <c r="TST8" s="216"/>
      <c r="TSU8" s="216"/>
      <c r="TSV8" s="216"/>
      <c r="TSW8" s="216"/>
      <c r="TSX8" s="216"/>
      <c r="TSY8" s="216"/>
      <c r="TSZ8" s="216"/>
      <c r="TTA8" s="216"/>
      <c r="TTB8" s="216"/>
      <c r="TTC8" s="216"/>
      <c r="TTD8" s="216"/>
      <c r="TTE8" s="216"/>
      <c r="TTF8" s="216"/>
      <c r="TTG8" s="216"/>
      <c r="TTH8" s="216"/>
      <c r="TTI8" s="216"/>
      <c r="TTJ8" s="216"/>
      <c r="TTK8" s="216"/>
      <c r="TTL8" s="216"/>
      <c r="TTM8" s="216"/>
      <c r="TTN8" s="216"/>
      <c r="TTO8" s="216"/>
      <c r="TTP8" s="216"/>
      <c r="TTQ8" s="216"/>
      <c r="TTR8" s="216"/>
      <c r="TTS8" s="216"/>
      <c r="TTT8" s="216"/>
      <c r="TTU8" s="216"/>
      <c r="TTV8" s="216"/>
      <c r="TTW8" s="216"/>
      <c r="TTX8" s="216"/>
      <c r="TTY8" s="216"/>
      <c r="TTZ8" s="216"/>
      <c r="TUA8" s="216"/>
      <c r="TUB8" s="216"/>
      <c r="TUC8" s="216"/>
      <c r="TUD8" s="216"/>
      <c r="TUE8" s="216"/>
      <c r="TUF8" s="216"/>
      <c r="TUG8" s="216"/>
      <c r="TUH8" s="216"/>
      <c r="TUI8" s="216"/>
      <c r="TUJ8" s="216"/>
      <c r="TUK8" s="216"/>
      <c r="TUL8" s="216"/>
      <c r="TUM8" s="216"/>
      <c r="TUN8" s="216"/>
      <c r="TUO8" s="216"/>
      <c r="TUP8" s="216"/>
      <c r="TUQ8" s="216"/>
      <c r="TUR8" s="216"/>
      <c r="TUS8" s="216"/>
      <c r="TUT8" s="216"/>
      <c r="TUU8" s="216"/>
      <c r="TUV8" s="216"/>
      <c r="TUW8" s="216"/>
      <c r="TUX8" s="216"/>
      <c r="TUY8" s="216"/>
      <c r="TUZ8" s="216"/>
      <c r="TVA8" s="216"/>
      <c r="TVB8" s="216"/>
      <c r="TVC8" s="216"/>
      <c r="TVD8" s="216"/>
      <c r="TVE8" s="216"/>
      <c r="TVF8" s="216"/>
      <c r="TVG8" s="216"/>
      <c r="TVH8" s="216"/>
      <c r="TVI8" s="216"/>
      <c r="TVJ8" s="216"/>
      <c r="TVK8" s="216"/>
      <c r="TVL8" s="216"/>
      <c r="TVM8" s="216"/>
      <c r="TVN8" s="216"/>
      <c r="TVO8" s="216"/>
      <c r="TVP8" s="216"/>
      <c r="TVQ8" s="216"/>
      <c r="TVR8" s="216"/>
      <c r="TVS8" s="216"/>
      <c r="TVT8" s="216"/>
      <c r="TVU8" s="216"/>
      <c r="TVV8" s="216"/>
      <c r="TVW8" s="216"/>
      <c r="TVX8" s="216"/>
      <c r="TVY8" s="216"/>
      <c r="TVZ8" s="216"/>
      <c r="TWA8" s="216"/>
      <c r="TWB8" s="216"/>
      <c r="TWC8" s="216"/>
      <c r="TWD8" s="216"/>
      <c r="TWE8" s="216"/>
      <c r="TWF8" s="216"/>
      <c r="TWG8" s="216"/>
      <c r="TWH8" s="216"/>
      <c r="TWI8" s="216"/>
      <c r="TWJ8" s="216"/>
      <c r="TWK8" s="216"/>
      <c r="TWL8" s="216"/>
      <c r="TWM8" s="216"/>
      <c r="TWN8" s="216"/>
      <c r="TWO8" s="216"/>
      <c r="TWP8" s="216"/>
      <c r="TWQ8" s="216"/>
      <c r="TWR8" s="216"/>
      <c r="TWS8" s="216"/>
      <c r="TWT8" s="216"/>
      <c r="TWU8" s="216"/>
      <c r="TWV8" s="216"/>
      <c r="TWW8" s="216"/>
      <c r="TWX8" s="216"/>
      <c r="TWY8" s="216"/>
      <c r="TWZ8" s="216"/>
      <c r="TXA8" s="216"/>
      <c r="TXB8" s="216"/>
      <c r="TXC8" s="216"/>
      <c r="TXD8" s="216"/>
      <c r="TXE8" s="216"/>
      <c r="TXF8" s="216"/>
      <c r="TXG8" s="216"/>
      <c r="TXH8" s="216"/>
      <c r="TXI8" s="216"/>
      <c r="TXJ8" s="216"/>
      <c r="TXK8" s="216"/>
      <c r="TXL8" s="216"/>
      <c r="TXM8" s="216"/>
      <c r="TXN8" s="216"/>
      <c r="TXO8" s="216"/>
      <c r="TXP8" s="216"/>
      <c r="TXQ8" s="216"/>
      <c r="TXR8" s="216"/>
      <c r="TXS8" s="216"/>
      <c r="TXT8" s="216"/>
      <c r="TXU8" s="216"/>
      <c r="TXV8" s="216"/>
      <c r="TXW8" s="216"/>
      <c r="TXX8" s="216"/>
      <c r="TXY8" s="216"/>
      <c r="TXZ8" s="216"/>
      <c r="TYA8" s="216"/>
      <c r="TYB8" s="216"/>
      <c r="TYC8" s="216"/>
      <c r="TYD8" s="216"/>
      <c r="TYE8" s="216"/>
      <c r="TYF8" s="216"/>
      <c r="TYG8" s="216"/>
      <c r="TYH8" s="216"/>
      <c r="TYI8" s="216"/>
      <c r="TYJ8" s="216"/>
      <c r="TYK8" s="216"/>
      <c r="TYL8" s="216"/>
      <c r="TYM8" s="216"/>
      <c r="TYN8" s="216"/>
      <c r="TYO8" s="216"/>
      <c r="TYP8" s="216"/>
      <c r="TYQ8" s="216"/>
      <c r="TYR8" s="216"/>
      <c r="TYS8" s="216"/>
      <c r="TYT8" s="216"/>
      <c r="TYU8" s="216"/>
      <c r="TYV8" s="216"/>
      <c r="TYW8" s="216"/>
      <c r="TYX8" s="216"/>
      <c r="TYY8" s="216"/>
      <c r="TYZ8" s="216"/>
      <c r="TZA8" s="216"/>
      <c r="TZB8" s="216"/>
      <c r="TZC8" s="216"/>
      <c r="TZD8" s="216"/>
      <c r="TZE8" s="216"/>
      <c r="TZF8" s="216"/>
      <c r="TZG8" s="216"/>
      <c r="TZH8" s="216"/>
      <c r="TZI8" s="216"/>
      <c r="TZJ8" s="216"/>
      <c r="TZK8" s="216"/>
      <c r="TZL8" s="216"/>
      <c r="TZM8" s="216"/>
      <c r="TZN8" s="216"/>
      <c r="TZO8" s="216"/>
      <c r="TZP8" s="216"/>
      <c r="TZQ8" s="216"/>
      <c r="TZR8" s="216"/>
      <c r="TZS8" s="216"/>
      <c r="TZT8" s="216"/>
      <c r="TZU8" s="216"/>
      <c r="TZV8" s="216"/>
      <c r="TZW8" s="216"/>
      <c r="TZX8" s="216"/>
      <c r="TZY8" s="216"/>
      <c r="TZZ8" s="216"/>
      <c r="UAA8" s="216"/>
      <c r="UAB8" s="216"/>
      <c r="UAC8" s="216"/>
      <c r="UAD8" s="216"/>
      <c r="UAE8" s="216"/>
      <c r="UAF8" s="216"/>
      <c r="UAG8" s="216"/>
      <c r="UAH8" s="216"/>
      <c r="UAI8" s="216"/>
      <c r="UAJ8" s="216"/>
      <c r="UAK8" s="216"/>
      <c r="UAL8" s="216"/>
      <c r="UAM8" s="216"/>
      <c r="UAN8" s="216"/>
      <c r="UAO8" s="216"/>
      <c r="UAP8" s="216"/>
      <c r="UAQ8" s="216"/>
      <c r="UAR8" s="216"/>
      <c r="UAS8" s="216"/>
      <c r="UAT8" s="216"/>
      <c r="UAU8" s="216"/>
      <c r="UAV8" s="216"/>
      <c r="UAW8" s="216"/>
      <c r="UAX8" s="216"/>
      <c r="UAY8" s="216"/>
      <c r="UAZ8" s="216"/>
      <c r="UBA8" s="216"/>
      <c r="UBB8" s="216"/>
      <c r="UBC8" s="216"/>
      <c r="UBD8" s="216"/>
      <c r="UBE8" s="216"/>
      <c r="UBF8" s="216"/>
      <c r="UBG8" s="216"/>
      <c r="UBH8" s="216"/>
      <c r="UBI8" s="216"/>
      <c r="UBJ8" s="216"/>
      <c r="UBK8" s="216"/>
      <c r="UBL8" s="216"/>
      <c r="UBM8" s="216"/>
      <c r="UBN8" s="216"/>
      <c r="UBO8" s="216"/>
      <c r="UBP8" s="216"/>
      <c r="UBQ8" s="216"/>
      <c r="UBR8" s="216"/>
      <c r="UBS8" s="216"/>
      <c r="UBT8" s="216"/>
      <c r="UBU8" s="216"/>
      <c r="UBV8" s="216"/>
      <c r="UBW8" s="216"/>
      <c r="UBX8" s="216"/>
      <c r="UBY8" s="216"/>
      <c r="UBZ8" s="216"/>
      <c r="UCA8" s="216"/>
      <c r="UCB8" s="216"/>
      <c r="UCC8" s="216"/>
      <c r="UCD8" s="216"/>
      <c r="UCE8" s="216"/>
      <c r="UCF8" s="216"/>
      <c r="UCG8" s="216"/>
      <c r="UCH8" s="216"/>
      <c r="UCI8" s="216"/>
      <c r="UCJ8" s="216"/>
      <c r="UCK8" s="216"/>
      <c r="UCL8" s="216"/>
      <c r="UCM8" s="216"/>
      <c r="UCN8" s="216"/>
      <c r="UCO8" s="216"/>
      <c r="UCP8" s="216"/>
      <c r="UCQ8" s="216"/>
      <c r="UCR8" s="216"/>
      <c r="UCS8" s="216"/>
      <c r="UCT8" s="216"/>
      <c r="UCU8" s="216"/>
      <c r="UCV8" s="216"/>
      <c r="UCW8" s="216"/>
      <c r="UCX8" s="216"/>
      <c r="UCY8" s="216"/>
      <c r="UCZ8" s="216"/>
      <c r="UDA8" s="216"/>
      <c r="UDB8" s="216"/>
      <c r="UDC8" s="216"/>
      <c r="UDD8" s="216"/>
      <c r="UDE8" s="216"/>
      <c r="UDF8" s="216"/>
      <c r="UDG8" s="216"/>
      <c r="UDH8" s="216"/>
      <c r="UDI8" s="216"/>
      <c r="UDJ8" s="216"/>
      <c r="UDK8" s="216"/>
      <c r="UDL8" s="216"/>
      <c r="UDM8" s="216"/>
      <c r="UDN8" s="216"/>
      <c r="UDO8" s="216"/>
      <c r="UDP8" s="216"/>
      <c r="UDQ8" s="216"/>
      <c r="UDR8" s="216"/>
      <c r="UDS8" s="216"/>
      <c r="UDT8" s="216"/>
      <c r="UDU8" s="216"/>
      <c r="UDV8" s="216"/>
      <c r="UDW8" s="216"/>
      <c r="UDX8" s="216"/>
      <c r="UDY8" s="216"/>
      <c r="UDZ8" s="216"/>
      <c r="UEA8" s="216"/>
      <c r="UEB8" s="216"/>
      <c r="UEC8" s="216"/>
      <c r="UED8" s="216"/>
      <c r="UEE8" s="216"/>
      <c r="UEF8" s="216"/>
      <c r="UEG8" s="216"/>
      <c r="UEH8" s="216"/>
      <c r="UEI8" s="216"/>
      <c r="UEJ8" s="216"/>
      <c r="UEK8" s="216"/>
      <c r="UEL8" s="216"/>
      <c r="UEM8" s="216"/>
      <c r="UEN8" s="216"/>
      <c r="UEO8" s="216"/>
      <c r="UEP8" s="216"/>
      <c r="UEQ8" s="216"/>
      <c r="UER8" s="216"/>
      <c r="UES8" s="216"/>
      <c r="UET8" s="216"/>
      <c r="UEU8" s="216"/>
      <c r="UEV8" s="216"/>
      <c r="UEW8" s="216"/>
      <c r="UEX8" s="216"/>
      <c r="UEY8" s="216"/>
      <c r="UEZ8" s="216"/>
      <c r="UFA8" s="216"/>
      <c r="UFB8" s="216"/>
      <c r="UFC8" s="216"/>
      <c r="UFD8" s="216"/>
      <c r="UFE8" s="216"/>
      <c r="UFF8" s="216"/>
      <c r="UFG8" s="216"/>
      <c r="UFH8" s="216"/>
      <c r="UFI8" s="216"/>
      <c r="UFJ8" s="216"/>
      <c r="UFK8" s="216"/>
      <c r="UFL8" s="216"/>
      <c r="UFM8" s="216"/>
      <c r="UFN8" s="216"/>
      <c r="UFO8" s="216"/>
      <c r="UFP8" s="216"/>
      <c r="UFQ8" s="216"/>
      <c r="UFR8" s="216"/>
      <c r="UFS8" s="216"/>
      <c r="UFT8" s="216"/>
      <c r="UFU8" s="216"/>
      <c r="UFV8" s="216"/>
      <c r="UFW8" s="216"/>
      <c r="UFX8" s="216"/>
      <c r="UFY8" s="216"/>
      <c r="UFZ8" s="216"/>
      <c r="UGA8" s="216"/>
      <c r="UGB8" s="216"/>
      <c r="UGC8" s="216"/>
      <c r="UGD8" s="216"/>
      <c r="UGE8" s="216"/>
      <c r="UGF8" s="216"/>
      <c r="UGG8" s="216"/>
      <c r="UGH8" s="216"/>
      <c r="UGI8" s="216"/>
      <c r="UGJ8" s="216"/>
      <c r="UGK8" s="216"/>
      <c r="UGL8" s="216"/>
      <c r="UGM8" s="216"/>
      <c r="UGN8" s="216"/>
      <c r="UGO8" s="216"/>
      <c r="UGP8" s="216"/>
      <c r="UGQ8" s="216"/>
      <c r="UGR8" s="216"/>
      <c r="UGS8" s="216"/>
      <c r="UGT8" s="216"/>
      <c r="UGU8" s="216"/>
      <c r="UGV8" s="216"/>
      <c r="UGW8" s="216"/>
      <c r="UGX8" s="216"/>
      <c r="UGY8" s="216"/>
      <c r="UGZ8" s="216"/>
      <c r="UHA8" s="216"/>
      <c r="UHB8" s="216"/>
      <c r="UHC8" s="216"/>
      <c r="UHD8" s="216"/>
      <c r="UHE8" s="216"/>
      <c r="UHF8" s="216"/>
      <c r="UHG8" s="216"/>
      <c r="UHH8" s="216"/>
      <c r="UHI8" s="216"/>
      <c r="UHJ8" s="216"/>
      <c r="UHK8" s="216"/>
      <c r="UHL8" s="216"/>
      <c r="UHM8" s="216"/>
      <c r="UHN8" s="216"/>
      <c r="UHO8" s="216"/>
      <c r="UHP8" s="216"/>
      <c r="UHQ8" s="216"/>
      <c r="UHR8" s="216"/>
      <c r="UHS8" s="216"/>
      <c r="UHT8" s="216"/>
      <c r="UHU8" s="216"/>
      <c r="UHV8" s="216"/>
      <c r="UHW8" s="216"/>
      <c r="UHX8" s="216"/>
      <c r="UHY8" s="216"/>
      <c r="UHZ8" s="216"/>
      <c r="UIA8" s="216"/>
      <c r="UIB8" s="216"/>
      <c r="UIC8" s="216"/>
      <c r="UID8" s="216"/>
      <c r="UIE8" s="216"/>
      <c r="UIF8" s="216"/>
      <c r="UIG8" s="216"/>
      <c r="UIH8" s="216"/>
      <c r="UII8" s="216"/>
      <c r="UIJ8" s="216"/>
      <c r="UIK8" s="216"/>
      <c r="UIL8" s="216"/>
      <c r="UIM8" s="216"/>
      <c r="UIN8" s="216"/>
      <c r="UIO8" s="216"/>
      <c r="UIP8" s="216"/>
      <c r="UIQ8" s="216"/>
      <c r="UIR8" s="216"/>
      <c r="UIS8" s="216"/>
      <c r="UIT8" s="216"/>
      <c r="UIU8" s="216"/>
      <c r="UIV8" s="216"/>
      <c r="UIW8" s="216"/>
      <c r="UIX8" s="216"/>
      <c r="UIY8" s="216"/>
      <c r="UIZ8" s="216"/>
      <c r="UJA8" s="216"/>
      <c r="UJB8" s="216"/>
      <c r="UJC8" s="216"/>
      <c r="UJD8" s="216"/>
      <c r="UJE8" s="216"/>
      <c r="UJF8" s="216"/>
      <c r="UJG8" s="216"/>
      <c r="UJH8" s="216"/>
      <c r="UJI8" s="216"/>
      <c r="UJJ8" s="216"/>
      <c r="UJK8" s="216"/>
      <c r="UJL8" s="216"/>
      <c r="UJM8" s="216"/>
      <c r="UJN8" s="216"/>
      <c r="UJO8" s="216"/>
      <c r="UJP8" s="216"/>
      <c r="UJQ8" s="216"/>
      <c r="UJR8" s="216"/>
      <c r="UJS8" s="216"/>
      <c r="UJT8" s="216"/>
      <c r="UJU8" s="216"/>
      <c r="UJV8" s="216"/>
      <c r="UJW8" s="216"/>
      <c r="UJX8" s="216"/>
      <c r="UJY8" s="216"/>
      <c r="UJZ8" s="216"/>
      <c r="UKA8" s="216"/>
      <c r="UKB8" s="216"/>
      <c r="UKC8" s="216"/>
      <c r="UKD8" s="216"/>
      <c r="UKE8" s="216"/>
      <c r="UKF8" s="216"/>
      <c r="UKG8" s="216"/>
      <c r="UKH8" s="216"/>
      <c r="UKI8" s="216"/>
      <c r="UKJ8" s="216"/>
      <c r="UKK8" s="216"/>
      <c r="UKL8" s="216"/>
      <c r="UKM8" s="216"/>
      <c r="UKN8" s="216"/>
      <c r="UKO8" s="216"/>
      <c r="UKP8" s="216"/>
      <c r="UKQ8" s="216"/>
      <c r="UKR8" s="216"/>
      <c r="UKS8" s="216"/>
      <c r="UKT8" s="216"/>
      <c r="UKU8" s="216"/>
      <c r="UKV8" s="216"/>
      <c r="UKW8" s="216"/>
      <c r="UKX8" s="216"/>
      <c r="UKY8" s="216"/>
      <c r="UKZ8" s="216"/>
      <c r="ULA8" s="216"/>
      <c r="ULB8" s="216"/>
      <c r="ULC8" s="216"/>
      <c r="ULD8" s="216"/>
      <c r="ULE8" s="216"/>
      <c r="ULF8" s="216"/>
      <c r="ULG8" s="216"/>
      <c r="ULH8" s="216"/>
      <c r="ULI8" s="216"/>
      <c r="ULJ8" s="216"/>
      <c r="ULK8" s="216"/>
      <c r="ULL8" s="216"/>
      <c r="ULM8" s="216"/>
      <c r="ULN8" s="216"/>
      <c r="ULO8" s="216"/>
      <c r="ULP8" s="216"/>
      <c r="ULQ8" s="216"/>
      <c r="ULR8" s="216"/>
      <c r="ULS8" s="216"/>
      <c r="ULT8" s="216"/>
      <c r="ULU8" s="216"/>
      <c r="ULV8" s="216"/>
      <c r="ULW8" s="216"/>
      <c r="ULX8" s="216"/>
      <c r="ULY8" s="216"/>
      <c r="ULZ8" s="216"/>
      <c r="UMA8" s="216"/>
      <c r="UMB8" s="216"/>
      <c r="UMC8" s="216"/>
      <c r="UMD8" s="216"/>
      <c r="UME8" s="216"/>
      <c r="UMF8" s="216"/>
      <c r="UMG8" s="216"/>
      <c r="UMH8" s="216"/>
      <c r="UMI8" s="216"/>
      <c r="UMJ8" s="216"/>
      <c r="UMK8" s="216"/>
      <c r="UML8" s="216"/>
      <c r="UMM8" s="216"/>
      <c r="UMN8" s="216"/>
      <c r="UMO8" s="216"/>
      <c r="UMP8" s="216"/>
      <c r="UMQ8" s="216"/>
      <c r="UMR8" s="216"/>
      <c r="UMS8" s="216"/>
      <c r="UMT8" s="216"/>
      <c r="UMU8" s="216"/>
      <c r="UMV8" s="216"/>
      <c r="UMW8" s="216"/>
      <c r="UMX8" s="216"/>
      <c r="UMY8" s="216"/>
      <c r="UMZ8" s="216"/>
      <c r="UNA8" s="216"/>
      <c r="UNB8" s="216"/>
      <c r="UNC8" s="216"/>
      <c r="UND8" s="216"/>
      <c r="UNE8" s="216"/>
      <c r="UNF8" s="216"/>
      <c r="UNG8" s="216"/>
      <c r="UNH8" s="216"/>
      <c r="UNI8" s="216"/>
      <c r="UNJ8" s="216"/>
      <c r="UNK8" s="216"/>
      <c r="UNL8" s="216"/>
      <c r="UNM8" s="216"/>
      <c r="UNN8" s="216"/>
      <c r="UNO8" s="216"/>
      <c r="UNP8" s="216"/>
      <c r="UNQ8" s="216"/>
      <c r="UNR8" s="216"/>
      <c r="UNS8" s="216"/>
      <c r="UNT8" s="216"/>
      <c r="UNU8" s="216"/>
      <c r="UNV8" s="216"/>
      <c r="UNW8" s="216"/>
      <c r="UNX8" s="216"/>
      <c r="UNY8" s="216"/>
      <c r="UNZ8" s="216"/>
      <c r="UOA8" s="216"/>
      <c r="UOB8" s="216"/>
      <c r="UOC8" s="216"/>
      <c r="UOD8" s="216"/>
      <c r="UOE8" s="216"/>
      <c r="UOF8" s="216"/>
      <c r="UOG8" s="216"/>
      <c r="UOH8" s="216"/>
      <c r="UOI8" s="216"/>
      <c r="UOJ8" s="216"/>
      <c r="UOK8" s="216"/>
      <c r="UOL8" s="216"/>
      <c r="UOM8" s="216"/>
      <c r="UON8" s="216"/>
      <c r="UOO8" s="216"/>
      <c r="UOP8" s="216"/>
      <c r="UOQ8" s="216"/>
      <c r="UOR8" s="216"/>
      <c r="UOS8" s="216"/>
      <c r="UOT8" s="216"/>
      <c r="UOU8" s="216"/>
      <c r="UOV8" s="216"/>
      <c r="UOW8" s="216"/>
      <c r="UOX8" s="216"/>
      <c r="UOY8" s="216"/>
      <c r="UOZ8" s="216"/>
      <c r="UPA8" s="216"/>
      <c r="UPB8" s="216"/>
      <c r="UPC8" s="216"/>
      <c r="UPD8" s="216"/>
      <c r="UPE8" s="216"/>
      <c r="UPF8" s="216"/>
      <c r="UPG8" s="216"/>
      <c r="UPH8" s="216"/>
      <c r="UPI8" s="216"/>
      <c r="UPJ8" s="216"/>
      <c r="UPK8" s="216"/>
      <c r="UPL8" s="216"/>
      <c r="UPM8" s="216"/>
      <c r="UPN8" s="216"/>
      <c r="UPO8" s="216"/>
      <c r="UPP8" s="216"/>
      <c r="UPQ8" s="216"/>
      <c r="UPR8" s="216"/>
      <c r="UPS8" s="216"/>
      <c r="UPT8" s="216"/>
      <c r="UPU8" s="216"/>
      <c r="UPV8" s="216"/>
      <c r="UPW8" s="216"/>
      <c r="UPX8" s="216"/>
      <c r="UPY8" s="216"/>
      <c r="UPZ8" s="216"/>
      <c r="UQA8" s="216"/>
      <c r="UQB8" s="216"/>
      <c r="UQC8" s="216"/>
      <c r="UQD8" s="216"/>
      <c r="UQE8" s="216"/>
      <c r="UQF8" s="216"/>
      <c r="UQG8" s="216"/>
      <c r="UQH8" s="216"/>
      <c r="UQI8" s="216"/>
      <c r="UQJ8" s="216"/>
      <c r="UQK8" s="216"/>
      <c r="UQL8" s="216"/>
      <c r="UQM8" s="216"/>
      <c r="UQN8" s="216"/>
      <c r="UQO8" s="216"/>
      <c r="UQP8" s="216"/>
      <c r="UQQ8" s="216"/>
      <c r="UQR8" s="216"/>
      <c r="UQS8" s="216"/>
      <c r="UQT8" s="216"/>
      <c r="UQU8" s="216"/>
      <c r="UQV8" s="216"/>
      <c r="UQW8" s="216"/>
      <c r="UQX8" s="216"/>
      <c r="UQY8" s="216"/>
      <c r="UQZ8" s="216"/>
      <c r="URA8" s="216"/>
      <c r="URB8" s="216"/>
      <c r="URC8" s="216"/>
      <c r="URD8" s="216"/>
      <c r="URE8" s="216"/>
      <c r="URF8" s="216"/>
      <c r="URG8" s="216"/>
      <c r="URH8" s="216"/>
      <c r="URI8" s="216"/>
      <c r="URJ8" s="216"/>
      <c r="URK8" s="216"/>
      <c r="URL8" s="216"/>
      <c r="URM8" s="216"/>
      <c r="URN8" s="216"/>
      <c r="URO8" s="216"/>
      <c r="URP8" s="216"/>
      <c r="URQ8" s="216"/>
      <c r="URR8" s="216"/>
      <c r="URS8" s="216"/>
      <c r="URT8" s="216"/>
      <c r="URU8" s="216"/>
      <c r="URV8" s="216"/>
      <c r="URW8" s="216"/>
      <c r="URX8" s="216"/>
      <c r="URY8" s="216"/>
      <c r="URZ8" s="216"/>
      <c r="USA8" s="216"/>
      <c r="USB8" s="216"/>
      <c r="USC8" s="216"/>
      <c r="USD8" s="216"/>
      <c r="USE8" s="216"/>
      <c r="USF8" s="216"/>
      <c r="USG8" s="216"/>
      <c r="USH8" s="216"/>
      <c r="USI8" s="216"/>
      <c r="USJ8" s="216"/>
      <c r="USK8" s="216"/>
      <c r="USL8" s="216"/>
      <c r="USM8" s="216"/>
      <c r="USN8" s="216"/>
      <c r="USO8" s="216"/>
      <c r="USP8" s="216"/>
      <c r="USQ8" s="216"/>
      <c r="USR8" s="216"/>
      <c r="USS8" s="216"/>
      <c r="UST8" s="216"/>
      <c r="USU8" s="216"/>
      <c r="USV8" s="216"/>
      <c r="USW8" s="216"/>
      <c r="USX8" s="216"/>
      <c r="USY8" s="216"/>
      <c r="USZ8" s="216"/>
      <c r="UTA8" s="216"/>
      <c r="UTB8" s="216"/>
      <c r="UTC8" s="216"/>
      <c r="UTD8" s="216"/>
      <c r="UTE8" s="216"/>
      <c r="UTF8" s="216"/>
      <c r="UTG8" s="216"/>
      <c r="UTH8" s="216"/>
      <c r="UTI8" s="216"/>
      <c r="UTJ8" s="216"/>
      <c r="UTK8" s="216"/>
      <c r="UTL8" s="216"/>
      <c r="UTM8" s="216"/>
      <c r="UTN8" s="216"/>
      <c r="UTO8" s="216"/>
      <c r="UTP8" s="216"/>
      <c r="UTQ8" s="216"/>
      <c r="UTR8" s="216"/>
      <c r="UTS8" s="216"/>
      <c r="UTT8" s="216"/>
      <c r="UTU8" s="216"/>
      <c r="UTV8" s="216"/>
      <c r="UTW8" s="216"/>
      <c r="UTX8" s="216"/>
      <c r="UTY8" s="216"/>
      <c r="UTZ8" s="216"/>
      <c r="UUA8" s="216"/>
      <c r="UUB8" s="216"/>
      <c r="UUC8" s="216"/>
      <c r="UUD8" s="216"/>
      <c r="UUE8" s="216"/>
      <c r="UUF8" s="216"/>
      <c r="UUG8" s="216"/>
      <c r="UUH8" s="216"/>
      <c r="UUI8" s="216"/>
      <c r="UUJ8" s="216"/>
      <c r="UUK8" s="216"/>
      <c r="UUL8" s="216"/>
      <c r="UUM8" s="216"/>
      <c r="UUN8" s="216"/>
      <c r="UUO8" s="216"/>
      <c r="UUP8" s="216"/>
      <c r="UUQ8" s="216"/>
      <c r="UUR8" s="216"/>
      <c r="UUS8" s="216"/>
      <c r="UUT8" s="216"/>
      <c r="UUU8" s="216"/>
      <c r="UUV8" s="216"/>
      <c r="UUW8" s="216"/>
      <c r="UUX8" s="216"/>
      <c r="UUY8" s="216"/>
      <c r="UUZ8" s="216"/>
      <c r="UVA8" s="216"/>
      <c r="UVB8" s="216"/>
      <c r="UVC8" s="216"/>
      <c r="UVD8" s="216"/>
      <c r="UVE8" s="216"/>
      <c r="UVF8" s="216"/>
      <c r="UVG8" s="216"/>
      <c r="UVH8" s="216"/>
      <c r="UVI8" s="216"/>
      <c r="UVJ8" s="216"/>
      <c r="UVK8" s="216"/>
      <c r="UVL8" s="216"/>
      <c r="UVM8" s="216"/>
      <c r="UVN8" s="216"/>
      <c r="UVO8" s="216"/>
      <c r="UVP8" s="216"/>
      <c r="UVQ8" s="216"/>
      <c r="UVR8" s="216"/>
      <c r="UVS8" s="216"/>
      <c r="UVT8" s="216"/>
      <c r="UVU8" s="216"/>
      <c r="UVV8" s="216"/>
      <c r="UVW8" s="216"/>
      <c r="UVX8" s="216"/>
      <c r="UVY8" s="216"/>
      <c r="UVZ8" s="216"/>
      <c r="UWA8" s="216"/>
      <c r="UWB8" s="216"/>
      <c r="UWC8" s="216"/>
      <c r="UWD8" s="216"/>
      <c r="UWE8" s="216"/>
      <c r="UWF8" s="216"/>
      <c r="UWG8" s="216"/>
      <c r="UWH8" s="216"/>
      <c r="UWI8" s="216"/>
      <c r="UWJ8" s="216"/>
      <c r="UWK8" s="216"/>
      <c r="UWL8" s="216"/>
      <c r="UWM8" s="216"/>
      <c r="UWN8" s="216"/>
      <c r="UWO8" s="216"/>
      <c r="UWP8" s="216"/>
      <c r="UWQ8" s="216"/>
      <c r="UWR8" s="216"/>
      <c r="UWS8" s="216"/>
      <c r="UWT8" s="216"/>
      <c r="UWU8" s="216"/>
      <c r="UWV8" s="216"/>
      <c r="UWW8" s="216"/>
      <c r="UWX8" s="216"/>
      <c r="UWY8" s="216"/>
      <c r="UWZ8" s="216"/>
      <c r="UXA8" s="216"/>
      <c r="UXB8" s="216"/>
      <c r="UXC8" s="216"/>
      <c r="UXD8" s="216"/>
      <c r="UXE8" s="216"/>
      <c r="UXF8" s="216"/>
      <c r="UXG8" s="216"/>
      <c r="UXH8" s="216"/>
      <c r="UXI8" s="216"/>
      <c r="UXJ8" s="216"/>
      <c r="UXK8" s="216"/>
      <c r="UXL8" s="216"/>
      <c r="UXM8" s="216"/>
      <c r="UXN8" s="216"/>
      <c r="UXO8" s="216"/>
      <c r="UXP8" s="216"/>
      <c r="UXQ8" s="216"/>
      <c r="UXR8" s="216"/>
      <c r="UXS8" s="216"/>
      <c r="UXT8" s="216"/>
      <c r="UXU8" s="216"/>
      <c r="UXV8" s="216"/>
      <c r="UXW8" s="216"/>
      <c r="UXX8" s="216"/>
      <c r="UXY8" s="216"/>
      <c r="UXZ8" s="216"/>
      <c r="UYA8" s="216"/>
      <c r="UYB8" s="216"/>
      <c r="UYC8" s="216"/>
      <c r="UYD8" s="216"/>
      <c r="UYE8" s="216"/>
      <c r="UYF8" s="216"/>
      <c r="UYG8" s="216"/>
      <c r="UYH8" s="216"/>
      <c r="UYI8" s="216"/>
      <c r="UYJ8" s="216"/>
      <c r="UYK8" s="216"/>
      <c r="UYL8" s="216"/>
      <c r="UYM8" s="216"/>
      <c r="UYN8" s="216"/>
      <c r="UYO8" s="216"/>
      <c r="UYP8" s="216"/>
      <c r="UYQ8" s="216"/>
      <c r="UYR8" s="216"/>
      <c r="UYS8" s="216"/>
      <c r="UYT8" s="216"/>
      <c r="UYU8" s="216"/>
      <c r="UYV8" s="216"/>
      <c r="UYW8" s="216"/>
      <c r="UYX8" s="216"/>
      <c r="UYY8" s="216"/>
      <c r="UYZ8" s="216"/>
      <c r="UZA8" s="216"/>
      <c r="UZB8" s="216"/>
      <c r="UZC8" s="216"/>
      <c r="UZD8" s="216"/>
      <c r="UZE8" s="216"/>
      <c r="UZF8" s="216"/>
      <c r="UZG8" s="216"/>
      <c r="UZH8" s="216"/>
      <c r="UZI8" s="216"/>
      <c r="UZJ8" s="216"/>
      <c r="UZK8" s="216"/>
      <c r="UZL8" s="216"/>
      <c r="UZM8" s="216"/>
      <c r="UZN8" s="216"/>
      <c r="UZO8" s="216"/>
      <c r="UZP8" s="216"/>
      <c r="UZQ8" s="216"/>
      <c r="UZR8" s="216"/>
      <c r="UZS8" s="216"/>
      <c r="UZT8" s="216"/>
      <c r="UZU8" s="216"/>
      <c r="UZV8" s="216"/>
      <c r="UZW8" s="216"/>
      <c r="UZX8" s="216"/>
      <c r="UZY8" s="216"/>
      <c r="UZZ8" s="216"/>
      <c r="VAA8" s="216"/>
      <c r="VAB8" s="216"/>
      <c r="VAC8" s="216"/>
      <c r="VAD8" s="216"/>
      <c r="VAE8" s="216"/>
      <c r="VAF8" s="216"/>
      <c r="VAG8" s="216"/>
      <c r="VAH8" s="216"/>
      <c r="VAI8" s="216"/>
      <c r="VAJ8" s="216"/>
      <c r="VAK8" s="216"/>
      <c r="VAL8" s="216"/>
      <c r="VAM8" s="216"/>
      <c r="VAN8" s="216"/>
      <c r="VAO8" s="216"/>
      <c r="VAP8" s="216"/>
      <c r="VAQ8" s="216"/>
      <c r="VAR8" s="216"/>
      <c r="VAS8" s="216"/>
      <c r="VAT8" s="216"/>
      <c r="VAU8" s="216"/>
      <c r="VAV8" s="216"/>
      <c r="VAW8" s="216"/>
      <c r="VAX8" s="216"/>
      <c r="VAY8" s="216"/>
      <c r="VAZ8" s="216"/>
      <c r="VBA8" s="216"/>
      <c r="VBB8" s="216"/>
      <c r="VBC8" s="216"/>
      <c r="VBD8" s="216"/>
      <c r="VBE8" s="216"/>
      <c r="VBF8" s="216"/>
      <c r="VBG8" s="216"/>
      <c r="VBH8" s="216"/>
      <c r="VBI8" s="216"/>
      <c r="VBJ8" s="216"/>
      <c r="VBK8" s="216"/>
      <c r="VBL8" s="216"/>
      <c r="VBM8" s="216"/>
      <c r="VBN8" s="216"/>
      <c r="VBO8" s="216"/>
      <c r="VBP8" s="216"/>
      <c r="VBQ8" s="216"/>
      <c r="VBR8" s="216"/>
      <c r="VBS8" s="216"/>
      <c r="VBT8" s="216"/>
      <c r="VBU8" s="216"/>
      <c r="VBV8" s="216"/>
      <c r="VBW8" s="216"/>
      <c r="VBX8" s="216"/>
      <c r="VBY8" s="216"/>
      <c r="VBZ8" s="216"/>
      <c r="VCA8" s="216"/>
      <c r="VCB8" s="216"/>
      <c r="VCC8" s="216"/>
      <c r="VCD8" s="216"/>
      <c r="VCE8" s="216"/>
      <c r="VCF8" s="216"/>
      <c r="VCG8" s="216"/>
      <c r="VCH8" s="216"/>
      <c r="VCI8" s="216"/>
      <c r="VCJ8" s="216"/>
      <c r="VCK8" s="216"/>
      <c r="VCL8" s="216"/>
      <c r="VCM8" s="216"/>
      <c r="VCN8" s="216"/>
      <c r="VCO8" s="216"/>
      <c r="VCP8" s="216"/>
      <c r="VCQ8" s="216"/>
      <c r="VCR8" s="216"/>
      <c r="VCS8" s="216"/>
      <c r="VCT8" s="216"/>
      <c r="VCU8" s="216"/>
      <c r="VCV8" s="216"/>
      <c r="VCW8" s="216"/>
      <c r="VCX8" s="216"/>
      <c r="VCY8" s="216"/>
      <c r="VCZ8" s="216"/>
      <c r="VDA8" s="216"/>
      <c r="VDB8" s="216"/>
      <c r="VDC8" s="216"/>
      <c r="VDD8" s="216"/>
      <c r="VDE8" s="216"/>
      <c r="VDF8" s="216"/>
      <c r="VDG8" s="216"/>
      <c r="VDH8" s="216"/>
      <c r="VDI8" s="216"/>
      <c r="VDJ8" s="216"/>
      <c r="VDK8" s="216"/>
      <c r="VDL8" s="216"/>
      <c r="VDM8" s="216"/>
      <c r="VDN8" s="216"/>
      <c r="VDO8" s="216"/>
      <c r="VDP8" s="216"/>
      <c r="VDQ8" s="216"/>
      <c r="VDR8" s="216"/>
      <c r="VDS8" s="216"/>
      <c r="VDT8" s="216"/>
      <c r="VDU8" s="216"/>
      <c r="VDV8" s="216"/>
      <c r="VDW8" s="216"/>
      <c r="VDX8" s="216"/>
      <c r="VDY8" s="216"/>
      <c r="VDZ8" s="216"/>
      <c r="VEA8" s="216"/>
      <c r="VEB8" s="216"/>
      <c r="VEC8" s="216"/>
      <c r="VED8" s="216"/>
      <c r="VEE8" s="216"/>
      <c r="VEF8" s="216"/>
      <c r="VEG8" s="216"/>
      <c r="VEH8" s="216"/>
      <c r="VEI8" s="216"/>
      <c r="VEJ8" s="216"/>
      <c r="VEK8" s="216"/>
      <c r="VEL8" s="216"/>
      <c r="VEM8" s="216"/>
      <c r="VEN8" s="216"/>
      <c r="VEO8" s="216"/>
      <c r="VEP8" s="216"/>
      <c r="VEQ8" s="216"/>
      <c r="VER8" s="216"/>
      <c r="VES8" s="216"/>
      <c r="VET8" s="216"/>
      <c r="VEU8" s="216"/>
      <c r="VEV8" s="216"/>
      <c r="VEW8" s="216"/>
      <c r="VEX8" s="216"/>
      <c r="VEY8" s="216"/>
      <c r="VEZ8" s="216"/>
      <c r="VFA8" s="216"/>
      <c r="VFB8" s="216"/>
      <c r="VFC8" s="216"/>
      <c r="VFD8" s="216"/>
      <c r="VFE8" s="216"/>
      <c r="VFF8" s="216"/>
      <c r="VFG8" s="216"/>
      <c r="VFH8" s="216"/>
      <c r="VFI8" s="216"/>
      <c r="VFJ8" s="216"/>
      <c r="VFK8" s="216"/>
      <c r="VFL8" s="216"/>
      <c r="VFM8" s="216"/>
      <c r="VFN8" s="216"/>
      <c r="VFO8" s="216"/>
      <c r="VFP8" s="216"/>
      <c r="VFQ8" s="216"/>
      <c r="VFR8" s="216"/>
      <c r="VFS8" s="216"/>
      <c r="VFT8" s="216"/>
      <c r="VFU8" s="216"/>
      <c r="VFV8" s="216"/>
      <c r="VFW8" s="216"/>
      <c r="VFX8" s="216"/>
      <c r="VFY8" s="216"/>
      <c r="VFZ8" s="216"/>
      <c r="VGA8" s="216"/>
      <c r="VGB8" s="216"/>
      <c r="VGC8" s="216"/>
      <c r="VGD8" s="216"/>
      <c r="VGE8" s="216"/>
      <c r="VGF8" s="216"/>
      <c r="VGG8" s="216"/>
      <c r="VGH8" s="216"/>
      <c r="VGI8" s="216"/>
      <c r="VGJ8" s="216"/>
      <c r="VGK8" s="216"/>
      <c r="VGL8" s="216"/>
      <c r="VGM8" s="216"/>
      <c r="VGN8" s="216"/>
      <c r="VGO8" s="216"/>
      <c r="VGP8" s="216"/>
      <c r="VGQ8" s="216"/>
      <c r="VGR8" s="216"/>
      <c r="VGS8" s="216"/>
      <c r="VGT8" s="216"/>
      <c r="VGU8" s="216"/>
      <c r="VGV8" s="216"/>
      <c r="VGW8" s="216"/>
      <c r="VGX8" s="216"/>
      <c r="VGY8" s="216"/>
      <c r="VGZ8" s="216"/>
      <c r="VHA8" s="216"/>
      <c r="VHB8" s="216"/>
      <c r="VHC8" s="216"/>
      <c r="VHD8" s="216"/>
      <c r="VHE8" s="216"/>
      <c r="VHF8" s="216"/>
      <c r="VHG8" s="216"/>
      <c r="VHH8" s="216"/>
      <c r="VHI8" s="216"/>
      <c r="VHJ8" s="216"/>
      <c r="VHK8" s="216"/>
      <c r="VHL8" s="216"/>
      <c r="VHM8" s="216"/>
      <c r="VHN8" s="216"/>
      <c r="VHO8" s="216"/>
      <c r="VHP8" s="216"/>
      <c r="VHQ8" s="216"/>
      <c r="VHR8" s="216"/>
      <c r="VHS8" s="216"/>
      <c r="VHT8" s="216"/>
      <c r="VHU8" s="216"/>
      <c r="VHV8" s="216"/>
      <c r="VHW8" s="216"/>
      <c r="VHX8" s="216"/>
      <c r="VHY8" s="216"/>
      <c r="VHZ8" s="216"/>
      <c r="VIA8" s="216"/>
      <c r="VIB8" s="216"/>
      <c r="VIC8" s="216"/>
      <c r="VID8" s="216"/>
      <c r="VIE8" s="216"/>
      <c r="VIF8" s="216"/>
      <c r="VIG8" s="216"/>
      <c r="VIH8" s="216"/>
      <c r="VII8" s="216"/>
      <c r="VIJ8" s="216"/>
      <c r="VIK8" s="216"/>
      <c r="VIL8" s="216"/>
      <c r="VIM8" s="216"/>
      <c r="VIN8" s="216"/>
      <c r="VIO8" s="216"/>
      <c r="VIP8" s="216"/>
      <c r="VIQ8" s="216"/>
      <c r="VIR8" s="216"/>
      <c r="VIS8" s="216"/>
      <c r="VIT8" s="216"/>
      <c r="VIU8" s="216"/>
      <c r="VIV8" s="216"/>
      <c r="VIW8" s="216"/>
      <c r="VIX8" s="216"/>
      <c r="VIY8" s="216"/>
      <c r="VIZ8" s="216"/>
      <c r="VJA8" s="216"/>
      <c r="VJB8" s="216"/>
      <c r="VJC8" s="216"/>
      <c r="VJD8" s="216"/>
      <c r="VJE8" s="216"/>
      <c r="VJF8" s="216"/>
      <c r="VJG8" s="216"/>
      <c r="VJH8" s="216"/>
      <c r="VJI8" s="216"/>
      <c r="VJJ8" s="216"/>
      <c r="VJK8" s="216"/>
      <c r="VJL8" s="216"/>
      <c r="VJM8" s="216"/>
      <c r="VJN8" s="216"/>
      <c r="VJO8" s="216"/>
      <c r="VJP8" s="216"/>
      <c r="VJQ8" s="216"/>
      <c r="VJR8" s="216"/>
      <c r="VJS8" s="216"/>
      <c r="VJT8" s="216"/>
      <c r="VJU8" s="216"/>
      <c r="VJV8" s="216"/>
      <c r="VJW8" s="216"/>
      <c r="VJX8" s="216"/>
      <c r="VJY8" s="216"/>
      <c r="VJZ8" s="216"/>
      <c r="VKA8" s="216"/>
      <c r="VKB8" s="216"/>
      <c r="VKC8" s="216"/>
      <c r="VKD8" s="216"/>
      <c r="VKE8" s="216"/>
      <c r="VKF8" s="216"/>
      <c r="VKG8" s="216"/>
      <c r="VKH8" s="216"/>
      <c r="VKI8" s="216"/>
      <c r="VKJ8" s="216"/>
      <c r="VKK8" s="216"/>
      <c r="VKL8" s="216"/>
      <c r="VKM8" s="216"/>
      <c r="VKN8" s="216"/>
      <c r="VKO8" s="216"/>
      <c r="VKP8" s="216"/>
      <c r="VKQ8" s="216"/>
      <c r="VKR8" s="216"/>
      <c r="VKS8" s="216"/>
      <c r="VKT8" s="216"/>
      <c r="VKU8" s="216"/>
      <c r="VKV8" s="216"/>
      <c r="VKW8" s="216"/>
      <c r="VKX8" s="216"/>
      <c r="VKY8" s="216"/>
      <c r="VKZ8" s="216"/>
      <c r="VLA8" s="216"/>
      <c r="VLB8" s="216"/>
      <c r="VLC8" s="216"/>
      <c r="VLD8" s="216"/>
      <c r="VLE8" s="216"/>
      <c r="VLF8" s="216"/>
      <c r="VLG8" s="216"/>
      <c r="VLH8" s="216"/>
      <c r="VLI8" s="216"/>
      <c r="VLJ8" s="216"/>
      <c r="VLK8" s="216"/>
      <c r="VLL8" s="216"/>
      <c r="VLM8" s="216"/>
      <c r="VLN8" s="216"/>
      <c r="VLO8" s="216"/>
      <c r="VLP8" s="216"/>
      <c r="VLQ8" s="216"/>
      <c r="VLR8" s="216"/>
      <c r="VLS8" s="216"/>
      <c r="VLT8" s="216"/>
      <c r="VLU8" s="216"/>
      <c r="VLV8" s="216"/>
      <c r="VLW8" s="216"/>
      <c r="VLX8" s="216"/>
      <c r="VLY8" s="216"/>
      <c r="VLZ8" s="216"/>
      <c r="VMA8" s="216"/>
      <c r="VMB8" s="216"/>
      <c r="VMC8" s="216"/>
      <c r="VMD8" s="216"/>
      <c r="VME8" s="216"/>
      <c r="VMF8" s="216"/>
      <c r="VMG8" s="216"/>
      <c r="VMH8" s="216"/>
      <c r="VMI8" s="216"/>
      <c r="VMJ8" s="216"/>
      <c r="VMK8" s="216"/>
      <c r="VML8" s="216"/>
      <c r="VMM8" s="216"/>
      <c r="VMN8" s="216"/>
      <c r="VMO8" s="216"/>
      <c r="VMP8" s="216"/>
      <c r="VMQ8" s="216"/>
      <c r="VMR8" s="216"/>
      <c r="VMS8" s="216"/>
      <c r="VMT8" s="216"/>
      <c r="VMU8" s="216"/>
      <c r="VMV8" s="216"/>
      <c r="VMW8" s="216"/>
      <c r="VMX8" s="216"/>
      <c r="VMY8" s="216"/>
      <c r="VMZ8" s="216"/>
      <c r="VNA8" s="216"/>
      <c r="VNB8" s="216"/>
      <c r="VNC8" s="216"/>
      <c r="VND8" s="216"/>
      <c r="VNE8" s="216"/>
      <c r="VNF8" s="216"/>
      <c r="VNG8" s="216"/>
      <c r="VNH8" s="216"/>
      <c r="VNI8" s="216"/>
      <c r="VNJ8" s="216"/>
      <c r="VNK8" s="216"/>
      <c r="VNL8" s="216"/>
      <c r="VNM8" s="216"/>
      <c r="VNN8" s="216"/>
      <c r="VNO8" s="216"/>
      <c r="VNP8" s="216"/>
      <c r="VNQ8" s="216"/>
      <c r="VNR8" s="216"/>
      <c r="VNS8" s="216"/>
      <c r="VNT8" s="216"/>
      <c r="VNU8" s="216"/>
      <c r="VNV8" s="216"/>
      <c r="VNW8" s="216"/>
      <c r="VNX8" s="216"/>
      <c r="VNY8" s="216"/>
      <c r="VNZ8" s="216"/>
      <c r="VOA8" s="216"/>
      <c r="VOB8" s="216"/>
      <c r="VOC8" s="216"/>
      <c r="VOD8" s="216"/>
      <c r="VOE8" s="216"/>
      <c r="VOF8" s="216"/>
      <c r="VOG8" s="216"/>
      <c r="VOH8" s="216"/>
      <c r="VOI8" s="216"/>
      <c r="VOJ8" s="216"/>
      <c r="VOK8" s="216"/>
      <c r="VOL8" s="216"/>
      <c r="VOM8" s="216"/>
      <c r="VON8" s="216"/>
      <c r="VOO8" s="216"/>
      <c r="VOP8" s="216"/>
      <c r="VOQ8" s="216"/>
      <c r="VOR8" s="216"/>
      <c r="VOS8" s="216"/>
      <c r="VOT8" s="216"/>
      <c r="VOU8" s="216"/>
      <c r="VOV8" s="216"/>
      <c r="VOW8" s="216"/>
      <c r="VOX8" s="216"/>
      <c r="VOY8" s="216"/>
      <c r="VOZ8" s="216"/>
      <c r="VPA8" s="216"/>
      <c r="VPB8" s="216"/>
      <c r="VPC8" s="216"/>
      <c r="VPD8" s="216"/>
      <c r="VPE8" s="216"/>
      <c r="VPF8" s="216"/>
      <c r="VPG8" s="216"/>
      <c r="VPH8" s="216"/>
      <c r="VPI8" s="216"/>
      <c r="VPJ8" s="216"/>
      <c r="VPK8" s="216"/>
      <c r="VPL8" s="216"/>
      <c r="VPM8" s="216"/>
      <c r="VPN8" s="216"/>
      <c r="VPO8" s="216"/>
      <c r="VPP8" s="216"/>
      <c r="VPQ8" s="216"/>
      <c r="VPR8" s="216"/>
      <c r="VPS8" s="216"/>
      <c r="VPT8" s="216"/>
      <c r="VPU8" s="216"/>
      <c r="VPV8" s="216"/>
      <c r="VPW8" s="216"/>
      <c r="VPX8" s="216"/>
      <c r="VPY8" s="216"/>
      <c r="VPZ8" s="216"/>
      <c r="VQA8" s="216"/>
      <c r="VQB8" s="216"/>
      <c r="VQC8" s="216"/>
      <c r="VQD8" s="216"/>
      <c r="VQE8" s="216"/>
      <c r="VQF8" s="216"/>
      <c r="VQG8" s="216"/>
      <c r="VQH8" s="216"/>
      <c r="VQI8" s="216"/>
      <c r="VQJ8" s="216"/>
      <c r="VQK8" s="216"/>
      <c r="VQL8" s="216"/>
      <c r="VQM8" s="216"/>
      <c r="VQN8" s="216"/>
      <c r="VQO8" s="216"/>
      <c r="VQP8" s="216"/>
      <c r="VQQ8" s="216"/>
      <c r="VQR8" s="216"/>
      <c r="VQS8" s="216"/>
      <c r="VQT8" s="216"/>
      <c r="VQU8" s="216"/>
      <c r="VQV8" s="216"/>
      <c r="VQW8" s="216"/>
      <c r="VQX8" s="216"/>
      <c r="VQY8" s="216"/>
      <c r="VQZ8" s="216"/>
      <c r="VRA8" s="216"/>
      <c r="VRB8" s="216"/>
      <c r="VRC8" s="216"/>
      <c r="VRD8" s="216"/>
      <c r="VRE8" s="216"/>
      <c r="VRF8" s="216"/>
      <c r="VRG8" s="216"/>
      <c r="VRH8" s="216"/>
      <c r="VRI8" s="216"/>
      <c r="VRJ8" s="216"/>
      <c r="VRK8" s="216"/>
      <c r="VRL8" s="216"/>
      <c r="VRM8" s="216"/>
      <c r="VRN8" s="216"/>
      <c r="VRO8" s="216"/>
      <c r="VRP8" s="216"/>
      <c r="VRQ8" s="216"/>
      <c r="VRR8" s="216"/>
      <c r="VRS8" s="216"/>
      <c r="VRT8" s="216"/>
      <c r="VRU8" s="216"/>
      <c r="VRV8" s="216"/>
      <c r="VRW8" s="216"/>
      <c r="VRX8" s="216"/>
      <c r="VRY8" s="216"/>
      <c r="VRZ8" s="216"/>
      <c r="VSA8" s="216"/>
      <c r="VSB8" s="216"/>
      <c r="VSC8" s="216"/>
      <c r="VSD8" s="216"/>
      <c r="VSE8" s="216"/>
      <c r="VSF8" s="216"/>
      <c r="VSG8" s="216"/>
      <c r="VSH8" s="216"/>
      <c r="VSI8" s="216"/>
      <c r="VSJ8" s="216"/>
      <c r="VSK8" s="216"/>
      <c r="VSL8" s="216"/>
      <c r="VSM8" s="216"/>
      <c r="VSN8" s="216"/>
      <c r="VSO8" s="216"/>
      <c r="VSP8" s="216"/>
      <c r="VSQ8" s="216"/>
      <c r="VSR8" s="216"/>
      <c r="VSS8" s="216"/>
      <c r="VST8" s="216"/>
      <c r="VSU8" s="216"/>
      <c r="VSV8" s="216"/>
      <c r="VSW8" s="216"/>
      <c r="VSX8" s="216"/>
      <c r="VSY8" s="216"/>
      <c r="VSZ8" s="216"/>
      <c r="VTA8" s="216"/>
      <c r="VTB8" s="216"/>
      <c r="VTC8" s="216"/>
      <c r="VTD8" s="216"/>
      <c r="VTE8" s="216"/>
      <c r="VTF8" s="216"/>
      <c r="VTG8" s="216"/>
      <c r="VTH8" s="216"/>
      <c r="VTI8" s="216"/>
      <c r="VTJ8" s="216"/>
      <c r="VTK8" s="216"/>
      <c r="VTL8" s="216"/>
      <c r="VTM8" s="216"/>
      <c r="VTN8" s="216"/>
      <c r="VTO8" s="216"/>
      <c r="VTP8" s="216"/>
      <c r="VTQ8" s="216"/>
      <c r="VTR8" s="216"/>
      <c r="VTS8" s="216"/>
      <c r="VTT8" s="216"/>
      <c r="VTU8" s="216"/>
      <c r="VTV8" s="216"/>
      <c r="VTW8" s="216"/>
      <c r="VTX8" s="216"/>
      <c r="VTY8" s="216"/>
      <c r="VTZ8" s="216"/>
      <c r="VUA8" s="216"/>
      <c r="VUB8" s="216"/>
      <c r="VUC8" s="216"/>
      <c r="VUD8" s="216"/>
      <c r="VUE8" s="216"/>
      <c r="VUF8" s="216"/>
      <c r="VUG8" s="216"/>
      <c r="VUH8" s="216"/>
      <c r="VUI8" s="216"/>
      <c r="VUJ8" s="216"/>
      <c r="VUK8" s="216"/>
      <c r="VUL8" s="216"/>
      <c r="VUM8" s="216"/>
      <c r="VUN8" s="216"/>
      <c r="VUO8" s="216"/>
      <c r="VUP8" s="216"/>
      <c r="VUQ8" s="216"/>
      <c r="VUR8" s="216"/>
      <c r="VUS8" s="216"/>
      <c r="VUT8" s="216"/>
      <c r="VUU8" s="216"/>
      <c r="VUV8" s="216"/>
      <c r="VUW8" s="216"/>
      <c r="VUX8" s="216"/>
      <c r="VUY8" s="216"/>
      <c r="VUZ8" s="216"/>
      <c r="VVA8" s="216"/>
      <c r="VVB8" s="216"/>
      <c r="VVC8" s="216"/>
      <c r="VVD8" s="216"/>
      <c r="VVE8" s="216"/>
      <c r="VVF8" s="216"/>
      <c r="VVG8" s="216"/>
      <c r="VVH8" s="216"/>
      <c r="VVI8" s="216"/>
      <c r="VVJ8" s="216"/>
      <c r="VVK8" s="216"/>
      <c r="VVL8" s="216"/>
      <c r="VVM8" s="216"/>
      <c r="VVN8" s="216"/>
      <c r="VVO8" s="216"/>
      <c r="VVP8" s="216"/>
      <c r="VVQ8" s="216"/>
      <c r="VVR8" s="216"/>
      <c r="VVS8" s="216"/>
      <c r="VVT8" s="216"/>
      <c r="VVU8" s="216"/>
      <c r="VVV8" s="216"/>
      <c r="VVW8" s="216"/>
      <c r="VVX8" s="216"/>
      <c r="VVY8" s="216"/>
      <c r="VVZ8" s="216"/>
      <c r="VWA8" s="216"/>
      <c r="VWB8" s="216"/>
      <c r="VWC8" s="216"/>
      <c r="VWD8" s="216"/>
      <c r="VWE8" s="216"/>
      <c r="VWF8" s="216"/>
      <c r="VWG8" s="216"/>
      <c r="VWH8" s="216"/>
      <c r="VWI8" s="216"/>
      <c r="VWJ8" s="216"/>
      <c r="VWK8" s="216"/>
      <c r="VWL8" s="216"/>
      <c r="VWM8" s="216"/>
      <c r="VWN8" s="216"/>
      <c r="VWO8" s="216"/>
      <c r="VWP8" s="216"/>
      <c r="VWQ8" s="216"/>
      <c r="VWR8" s="216"/>
      <c r="VWS8" s="216"/>
      <c r="VWT8" s="216"/>
      <c r="VWU8" s="216"/>
      <c r="VWV8" s="216"/>
      <c r="VWW8" s="216"/>
      <c r="VWX8" s="216"/>
      <c r="VWY8" s="216"/>
      <c r="VWZ8" s="216"/>
      <c r="VXA8" s="216"/>
      <c r="VXB8" s="216"/>
      <c r="VXC8" s="216"/>
      <c r="VXD8" s="216"/>
      <c r="VXE8" s="216"/>
      <c r="VXF8" s="216"/>
      <c r="VXG8" s="216"/>
      <c r="VXH8" s="216"/>
      <c r="VXI8" s="216"/>
      <c r="VXJ8" s="216"/>
      <c r="VXK8" s="216"/>
      <c r="VXL8" s="216"/>
      <c r="VXM8" s="216"/>
      <c r="VXN8" s="216"/>
      <c r="VXO8" s="216"/>
      <c r="VXP8" s="216"/>
      <c r="VXQ8" s="216"/>
      <c r="VXR8" s="216"/>
      <c r="VXS8" s="216"/>
      <c r="VXT8" s="216"/>
      <c r="VXU8" s="216"/>
      <c r="VXV8" s="216"/>
      <c r="VXW8" s="216"/>
      <c r="VXX8" s="216"/>
      <c r="VXY8" s="216"/>
      <c r="VXZ8" s="216"/>
      <c r="VYA8" s="216"/>
      <c r="VYB8" s="216"/>
      <c r="VYC8" s="216"/>
      <c r="VYD8" s="216"/>
      <c r="VYE8" s="216"/>
      <c r="VYF8" s="216"/>
      <c r="VYG8" s="216"/>
      <c r="VYH8" s="216"/>
      <c r="VYI8" s="216"/>
      <c r="VYJ8" s="216"/>
      <c r="VYK8" s="216"/>
      <c r="VYL8" s="216"/>
      <c r="VYM8" s="216"/>
      <c r="VYN8" s="216"/>
      <c r="VYO8" s="216"/>
      <c r="VYP8" s="216"/>
      <c r="VYQ8" s="216"/>
      <c r="VYR8" s="216"/>
      <c r="VYS8" s="216"/>
      <c r="VYT8" s="216"/>
      <c r="VYU8" s="216"/>
      <c r="VYV8" s="216"/>
      <c r="VYW8" s="216"/>
      <c r="VYX8" s="216"/>
      <c r="VYY8" s="216"/>
      <c r="VYZ8" s="216"/>
      <c r="VZA8" s="216"/>
      <c r="VZB8" s="216"/>
      <c r="VZC8" s="216"/>
      <c r="VZD8" s="216"/>
      <c r="VZE8" s="216"/>
      <c r="VZF8" s="216"/>
      <c r="VZG8" s="216"/>
      <c r="VZH8" s="216"/>
      <c r="VZI8" s="216"/>
      <c r="VZJ8" s="216"/>
      <c r="VZK8" s="216"/>
      <c r="VZL8" s="216"/>
      <c r="VZM8" s="216"/>
      <c r="VZN8" s="216"/>
      <c r="VZO8" s="216"/>
      <c r="VZP8" s="216"/>
      <c r="VZQ8" s="216"/>
      <c r="VZR8" s="216"/>
      <c r="VZS8" s="216"/>
      <c r="VZT8" s="216"/>
      <c r="VZU8" s="216"/>
      <c r="VZV8" s="216"/>
      <c r="VZW8" s="216"/>
      <c r="VZX8" s="216"/>
      <c r="VZY8" s="216"/>
      <c r="VZZ8" s="216"/>
      <c r="WAA8" s="216"/>
      <c r="WAB8" s="216"/>
      <c r="WAC8" s="216"/>
      <c r="WAD8" s="216"/>
      <c r="WAE8" s="216"/>
      <c r="WAF8" s="216"/>
      <c r="WAG8" s="216"/>
      <c r="WAH8" s="216"/>
      <c r="WAI8" s="216"/>
      <c r="WAJ8" s="216"/>
      <c r="WAK8" s="216"/>
      <c r="WAL8" s="216"/>
      <c r="WAM8" s="216"/>
      <c r="WAN8" s="216"/>
      <c r="WAO8" s="216"/>
      <c r="WAP8" s="216"/>
      <c r="WAQ8" s="216"/>
      <c r="WAR8" s="216"/>
      <c r="WAS8" s="216"/>
      <c r="WAT8" s="216"/>
      <c r="WAU8" s="216"/>
      <c r="WAV8" s="216"/>
      <c r="WAW8" s="216"/>
      <c r="WAX8" s="216"/>
      <c r="WAY8" s="216"/>
      <c r="WAZ8" s="216"/>
      <c r="WBA8" s="216"/>
      <c r="WBB8" s="216"/>
      <c r="WBC8" s="216"/>
      <c r="WBD8" s="216"/>
      <c r="WBE8" s="216"/>
      <c r="WBF8" s="216"/>
      <c r="WBG8" s="216"/>
      <c r="WBH8" s="216"/>
      <c r="WBI8" s="216"/>
      <c r="WBJ8" s="216"/>
      <c r="WBK8" s="216"/>
      <c r="WBL8" s="216"/>
      <c r="WBM8" s="216"/>
      <c r="WBN8" s="216"/>
      <c r="WBO8" s="216"/>
      <c r="WBP8" s="216"/>
      <c r="WBQ8" s="216"/>
      <c r="WBR8" s="216"/>
      <c r="WBS8" s="216"/>
      <c r="WBT8" s="216"/>
      <c r="WBU8" s="216"/>
      <c r="WBV8" s="216"/>
      <c r="WBW8" s="216"/>
      <c r="WBX8" s="216"/>
      <c r="WBY8" s="216"/>
      <c r="WBZ8" s="216"/>
      <c r="WCA8" s="216"/>
      <c r="WCB8" s="216"/>
      <c r="WCC8" s="216"/>
      <c r="WCD8" s="216"/>
      <c r="WCE8" s="216"/>
      <c r="WCF8" s="216"/>
      <c r="WCG8" s="216"/>
      <c r="WCH8" s="216"/>
      <c r="WCI8" s="216"/>
      <c r="WCJ8" s="216"/>
      <c r="WCK8" s="216"/>
      <c r="WCL8" s="216"/>
      <c r="WCM8" s="216"/>
      <c r="WCN8" s="216"/>
      <c r="WCO8" s="216"/>
      <c r="WCP8" s="216"/>
      <c r="WCQ8" s="216"/>
      <c r="WCR8" s="216"/>
      <c r="WCS8" s="216"/>
      <c r="WCT8" s="216"/>
      <c r="WCU8" s="216"/>
      <c r="WCV8" s="216"/>
      <c r="WCW8" s="216"/>
      <c r="WCX8" s="216"/>
      <c r="WCY8" s="216"/>
      <c r="WCZ8" s="216"/>
      <c r="WDA8" s="216"/>
      <c r="WDB8" s="216"/>
      <c r="WDC8" s="216"/>
      <c r="WDD8" s="216"/>
      <c r="WDE8" s="216"/>
      <c r="WDF8" s="216"/>
      <c r="WDG8" s="216"/>
      <c r="WDH8" s="216"/>
      <c r="WDI8" s="216"/>
      <c r="WDJ8" s="216"/>
      <c r="WDK8" s="216"/>
      <c r="WDL8" s="216"/>
      <c r="WDM8" s="216"/>
      <c r="WDN8" s="216"/>
      <c r="WDO8" s="216"/>
      <c r="WDP8" s="216"/>
      <c r="WDQ8" s="216"/>
      <c r="WDR8" s="216"/>
      <c r="WDS8" s="216"/>
      <c r="WDT8" s="216"/>
      <c r="WDU8" s="216"/>
      <c r="WDV8" s="216"/>
      <c r="WDW8" s="216"/>
      <c r="WDX8" s="216"/>
      <c r="WDY8" s="216"/>
      <c r="WDZ8" s="216"/>
      <c r="WEA8" s="216"/>
      <c r="WEB8" s="216"/>
      <c r="WEC8" s="216"/>
      <c r="WED8" s="216"/>
      <c r="WEE8" s="216"/>
      <c r="WEF8" s="216"/>
      <c r="WEG8" s="216"/>
      <c r="WEH8" s="216"/>
      <c r="WEI8" s="216"/>
      <c r="WEJ8" s="216"/>
      <c r="WEK8" s="216"/>
      <c r="WEL8" s="216"/>
      <c r="WEM8" s="216"/>
      <c r="WEN8" s="216"/>
      <c r="WEO8" s="216"/>
      <c r="WEP8" s="216"/>
      <c r="WEQ8" s="216"/>
      <c r="WER8" s="216"/>
      <c r="WES8" s="216"/>
      <c r="WET8" s="216"/>
      <c r="WEU8" s="216"/>
      <c r="WEV8" s="216"/>
      <c r="WEW8" s="216"/>
      <c r="WEX8" s="216"/>
      <c r="WEY8" s="216"/>
      <c r="WEZ8" s="216"/>
      <c r="WFA8" s="216"/>
      <c r="WFB8" s="216"/>
      <c r="WFC8" s="216"/>
      <c r="WFD8" s="216"/>
      <c r="WFE8" s="216"/>
      <c r="WFF8" s="216"/>
      <c r="WFG8" s="216"/>
      <c r="WFH8" s="216"/>
      <c r="WFI8" s="216"/>
      <c r="WFJ8" s="216"/>
      <c r="WFK8" s="216"/>
      <c r="WFL8" s="216"/>
      <c r="WFM8" s="216"/>
      <c r="WFN8" s="216"/>
      <c r="WFO8" s="216"/>
      <c r="WFP8" s="216"/>
      <c r="WFQ8" s="216"/>
      <c r="WFR8" s="216"/>
      <c r="WFS8" s="216"/>
      <c r="WFT8" s="216"/>
      <c r="WFU8" s="216"/>
      <c r="WFV8" s="216"/>
      <c r="WFW8" s="216"/>
      <c r="WFX8" s="216"/>
      <c r="WFY8" s="216"/>
      <c r="WFZ8" s="216"/>
      <c r="WGA8" s="216"/>
      <c r="WGB8" s="216"/>
      <c r="WGC8" s="216"/>
      <c r="WGD8" s="216"/>
      <c r="WGE8" s="216"/>
      <c r="WGF8" s="216"/>
      <c r="WGG8" s="216"/>
      <c r="WGH8" s="216"/>
      <c r="WGI8" s="216"/>
      <c r="WGJ8" s="216"/>
      <c r="WGK8" s="216"/>
      <c r="WGL8" s="216"/>
      <c r="WGM8" s="216"/>
      <c r="WGN8" s="216"/>
      <c r="WGO8" s="216"/>
      <c r="WGP8" s="216"/>
      <c r="WGQ8" s="216"/>
      <c r="WGR8" s="216"/>
      <c r="WGS8" s="216"/>
      <c r="WGT8" s="216"/>
      <c r="WGU8" s="216"/>
      <c r="WGV8" s="216"/>
      <c r="WGW8" s="216"/>
      <c r="WGX8" s="216"/>
      <c r="WGY8" s="216"/>
      <c r="WGZ8" s="216"/>
      <c r="WHA8" s="216"/>
      <c r="WHB8" s="216"/>
      <c r="WHC8" s="216"/>
      <c r="WHD8" s="216"/>
      <c r="WHE8" s="216"/>
      <c r="WHF8" s="216"/>
      <c r="WHG8" s="216"/>
      <c r="WHH8" s="216"/>
      <c r="WHI8" s="216"/>
      <c r="WHJ8" s="216"/>
      <c r="WHK8" s="216"/>
      <c r="WHL8" s="216"/>
      <c r="WHM8" s="216"/>
      <c r="WHN8" s="216"/>
      <c r="WHO8" s="216"/>
      <c r="WHP8" s="216"/>
      <c r="WHQ8" s="216"/>
      <c r="WHR8" s="216"/>
      <c r="WHS8" s="216"/>
      <c r="WHT8" s="216"/>
      <c r="WHU8" s="216"/>
      <c r="WHV8" s="216"/>
      <c r="WHW8" s="216"/>
      <c r="WHX8" s="216"/>
      <c r="WHY8" s="216"/>
      <c r="WHZ8" s="216"/>
      <c r="WIA8" s="216"/>
      <c r="WIB8" s="216"/>
      <c r="WIC8" s="216"/>
      <c r="WID8" s="216"/>
      <c r="WIE8" s="216"/>
      <c r="WIF8" s="216"/>
      <c r="WIG8" s="216"/>
      <c r="WIH8" s="216"/>
      <c r="WII8" s="216"/>
      <c r="WIJ8" s="216"/>
      <c r="WIK8" s="216"/>
      <c r="WIL8" s="216"/>
      <c r="WIM8" s="216"/>
      <c r="WIN8" s="216"/>
      <c r="WIO8" s="216"/>
      <c r="WIP8" s="216"/>
      <c r="WIQ8" s="216"/>
      <c r="WIR8" s="216"/>
      <c r="WIS8" s="216"/>
      <c r="WIT8" s="216"/>
      <c r="WIU8" s="216"/>
      <c r="WIV8" s="216"/>
      <c r="WIW8" s="216"/>
      <c r="WIX8" s="216"/>
      <c r="WIY8" s="216"/>
      <c r="WIZ8" s="216"/>
      <c r="WJA8" s="216"/>
      <c r="WJB8" s="216"/>
      <c r="WJC8" s="216"/>
      <c r="WJD8" s="216"/>
      <c r="WJE8" s="216"/>
      <c r="WJF8" s="216"/>
      <c r="WJG8" s="216"/>
      <c r="WJH8" s="216"/>
      <c r="WJI8" s="216"/>
      <c r="WJJ8" s="216"/>
      <c r="WJK8" s="216"/>
      <c r="WJL8" s="216"/>
      <c r="WJM8" s="216"/>
      <c r="WJN8" s="216"/>
      <c r="WJO8" s="216"/>
      <c r="WJP8" s="216"/>
      <c r="WJQ8" s="216"/>
      <c r="WJR8" s="216"/>
      <c r="WJS8" s="216"/>
      <c r="WJT8" s="216"/>
      <c r="WJU8" s="216"/>
      <c r="WJV8" s="216"/>
      <c r="WJW8" s="216"/>
      <c r="WJX8" s="216"/>
      <c r="WJY8" s="216"/>
      <c r="WJZ8" s="216"/>
      <c r="WKA8" s="216"/>
      <c r="WKB8" s="216"/>
      <c r="WKC8" s="216"/>
      <c r="WKD8" s="216"/>
      <c r="WKE8" s="216"/>
      <c r="WKF8" s="216"/>
      <c r="WKG8" s="216"/>
      <c r="WKH8" s="216"/>
      <c r="WKI8" s="216"/>
      <c r="WKJ8" s="216"/>
      <c r="WKK8" s="216"/>
      <c r="WKL8" s="216"/>
      <c r="WKM8" s="216"/>
      <c r="WKN8" s="216"/>
      <c r="WKO8" s="216"/>
      <c r="WKP8" s="216"/>
      <c r="WKQ8" s="216"/>
      <c r="WKR8" s="216"/>
      <c r="WKS8" s="216"/>
      <c r="WKT8" s="216"/>
      <c r="WKU8" s="216"/>
      <c r="WKV8" s="216"/>
      <c r="WKW8" s="216"/>
      <c r="WKX8" s="216"/>
      <c r="WKY8" s="216"/>
      <c r="WKZ8" s="216"/>
      <c r="WLA8" s="216"/>
      <c r="WLB8" s="216"/>
      <c r="WLC8" s="216"/>
      <c r="WLD8" s="216"/>
      <c r="WLE8" s="216"/>
      <c r="WLF8" s="216"/>
      <c r="WLG8" s="216"/>
      <c r="WLH8" s="216"/>
      <c r="WLI8" s="216"/>
      <c r="WLJ8" s="216"/>
      <c r="WLK8" s="216"/>
      <c r="WLL8" s="216"/>
      <c r="WLM8" s="216"/>
      <c r="WLN8" s="216"/>
      <c r="WLO8" s="216"/>
      <c r="WLP8" s="216"/>
      <c r="WLQ8" s="216"/>
      <c r="WLR8" s="216"/>
      <c r="WLS8" s="216"/>
      <c r="WLT8" s="216"/>
      <c r="WLU8" s="216"/>
      <c r="WLV8" s="216"/>
      <c r="WLW8" s="216"/>
      <c r="WLX8" s="216"/>
      <c r="WLY8" s="216"/>
      <c r="WLZ8" s="216"/>
      <c r="WMA8" s="216"/>
      <c r="WMB8" s="216"/>
      <c r="WMC8" s="216"/>
      <c r="WMD8" s="216"/>
      <c r="WME8" s="216"/>
      <c r="WMF8" s="216"/>
      <c r="WMG8" s="216"/>
      <c r="WMH8" s="216"/>
      <c r="WMI8" s="216"/>
      <c r="WMJ8" s="216"/>
      <c r="WMK8" s="216"/>
      <c r="WML8" s="216"/>
      <c r="WMM8" s="216"/>
      <c r="WMN8" s="216"/>
      <c r="WMO8" s="216"/>
      <c r="WMP8" s="216"/>
      <c r="WMQ8" s="216"/>
      <c r="WMR8" s="216"/>
      <c r="WMS8" s="216"/>
      <c r="WMT8" s="216"/>
      <c r="WMU8" s="216"/>
      <c r="WMV8" s="216"/>
      <c r="WMW8" s="216"/>
      <c r="WMX8" s="216"/>
      <c r="WMY8" s="216"/>
      <c r="WMZ8" s="216"/>
      <c r="WNA8" s="216"/>
      <c r="WNB8" s="216"/>
      <c r="WNC8" s="216"/>
      <c r="WND8" s="216"/>
      <c r="WNE8" s="216"/>
      <c r="WNF8" s="216"/>
      <c r="WNG8" s="216"/>
      <c r="WNH8" s="216"/>
      <c r="WNI8" s="216"/>
      <c r="WNJ8" s="216"/>
      <c r="WNK8" s="216"/>
      <c r="WNL8" s="216"/>
      <c r="WNM8" s="216"/>
      <c r="WNN8" s="216"/>
      <c r="WNO8" s="216"/>
      <c r="WNP8" s="216"/>
      <c r="WNQ8" s="216"/>
      <c r="WNR8" s="216"/>
      <c r="WNS8" s="216"/>
      <c r="WNT8" s="216"/>
      <c r="WNU8" s="216"/>
      <c r="WNV8" s="216"/>
      <c r="WNW8" s="216"/>
      <c r="WNX8" s="216"/>
      <c r="WNY8" s="216"/>
      <c r="WNZ8" s="216"/>
      <c r="WOA8" s="216"/>
      <c r="WOB8" s="216"/>
      <c r="WOC8" s="216"/>
      <c r="WOD8" s="216"/>
      <c r="WOE8" s="216"/>
      <c r="WOF8" s="216"/>
      <c r="WOG8" s="216"/>
      <c r="WOH8" s="216"/>
      <c r="WOI8" s="216"/>
      <c r="WOJ8" s="216"/>
      <c r="WOK8" s="216"/>
      <c r="WOL8" s="216"/>
      <c r="WOM8" s="216"/>
      <c r="WON8" s="216"/>
      <c r="WOO8" s="216"/>
      <c r="WOP8" s="216"/>
      <c r="WOQ8" s="216"/>
      <c r="WOR8" s="216"/>
      <c r="WOS8" s="216"/>
      <c r="WOT8" s="216"/>
      <c r="WOU8" s="216"/>
      <c r="WOV8" s="216"/>
      <c r="WOW8" s="216"/>
      <c r="WOX8" s="216"/>
      <c r="WOY8" s="216"/>
      <c r="WOZ8" s="216"/>
      <c r="WPA8" s="216"/>
      <c r="WPB8" s="216"/>
      <c r="WPC8" s="216"/>
      <c r="WPD8" s="216"/>
      <c r="WPE8" s="216"/>
      <c r="WPF8" s="216"/>
      <c r="WPG8" s="216"/>
      <c r="WPH8" s="216"/>
      <c r="WPI8" s="216"/>
      <c r="WPJ8" s="216"/>
      <c r="WPK8" s="216"/>
      <c r="WPL8" s="216"/>
      <c r="WPM8" s="216"/>
      <c r="WPN8" s="216"/>
      <c r="WPO8" s="216"/>
      <c r="WPP8" s="216"/>
      <c r="WPQ8" s="216"/>
      <c r="WPR8" s="216"/>
      <c r="WPS8" s="216"/>
      <c r="WPT8" s="216"/>
      <c r="WPU8" s="216"/>
      <c r="WPV8" s="216"/>
      <c r="WPW8" s="216"/>
      <c r="WPX8" s="216"/>
      <c r="WPY8" s="216"/>
      <c r="WPZ8" s="216"/>
      <c r="WQA8" s="216"/>
      <c r="WQB8" s="216"/>
      <c r="WQC8" s="216"/>
      <c r="WQD8" s="216"/>
      <c r="WQE8" s="216"/>
      <c r="WQF8" s="216"/>
      <c r="WQG8" s="216"/>
      <c r="WQH8" s="216"/>
      <c r="WQI8" s="216"/>
      <c r="WQJ8" s="216"/>
      <c r="WQK8" s="216"/>
      <c r="WQL8" s="216"/>
      <c r="WQM8" s="216"/>
      <c r="WQN8" s="216"/>
      <c r="WQO8" s="216"/>
      <c r="WQP8" s="216"/>
      <c r="WQQ8" s="216"/>
      <c r="WQR8" s="216"/>
      <c r="WQS8" s="216"/>
      <c r="WQT8" s="216"/>
      <c r="WQU8" s="216"/>
      <c r="WQV8" s="216"/>
      <c r="WQW8" s="216"/>
      <c r="WQX8" s="216"/>
      <c r="WQY8" s="216"/>
      <c r="WQZ8" s="216"/>
      <c r="WRA8" s="216"/>
      <c r="WRB8" s="216"/>
      <c r="WRC8" s="216"/>
      <c r="WRD8" s="216"/>
      <c r="WRE8" s="216"/>
      <c r="WRF8" s="216"/>
      <c r="WRG8" s="216"/>
      <c r="WRH8" s="216"/>
      <c r="WRI8" s="216"/>
      <c r="WRJ8" s="216"/>
      <c r="WRK8" s="216"/>
      <c r="WRL8" s="216"/>
      <c r="WRM8" s="216"/>
      <c r="WRN8" s="216"/>
      <c r="WRO8" s="216"/>
      <c r="WRP8" s="216"/>
      <c r="WRQ8" s="216"/>
      <c r="WRR8" s="216"/>
      <c r="WRS8" s="216"/>
      <c r="WRT8" s="216"/>
      <c r="WRU8" s="216"/>
      <c r="WRV8" s="216"/>
      <c r="WRW8" s="216"/>
      <c r="WRX8" s="216"/>
      <c r="WRY8" s="216"/>
      <c r="WRZ8" s="216"/>
      <c r="WSA8" s="216"/>
      <c r="WSB8" s="216"/>
      <c r="WSC8" s="216"/>
      <c r="WSD8" s="216"/>
      <c r="WSE8" s="216"/>
      <c r="WSF8" s="216"/>
      <c r="WSG8" s="216"/>
      <c r="WSH8" s="216"/>
      <c r="WSI8" s="216"/>
      <c r="WSJ8" s="216"/>
      <c r="WSK8" s="216"/>
      <c r="WSL8" s="216"/>
      <c r="WSM8" s="216"/>
      <c r="WSN8" s="216"/>
      <c r="WSO8" s="216"/>
      <c r="WSP8" s="216"/>
      <c r="WSQ8" s="216"/>
      <c r="WSR8" s="216"/>
      <c r="WSS8" s="216"/>
      <c r="WST8" s="216"/>
      <c r="WSU8" s="216"/>
      <c r="WSV8" s="216"/>
      <c r="WSW8" s="216"/>
      <c r="WSX8" s="216"/>
      <c r="WSY8" s="216"/>
      <c r="WSZ8" s="216"/>
      <c r="WTA8" s="216"/>
      <c r="WTB8" s="216"/>
      <c r="WTC8" s="216"/>
      <c r="WTD8" s="216"/>
      <c r="WTE8" s="216"/>
      <c r="WTF8" s="216"/>
      <c r="WTG8" s="216"/>
      <c r="WTH8" s="216"/>
      <c r="WTI8" s="216"/>
      <c r="WTJ8" s="216"/>
      <c r="WTK8" s="216"/>
      <c r="WTL8" s="216"/>
      <c r="WTM8" s="216"/>
      <c r="WTN8" s="216"/>
      <c r="WTO8" s="216"/>
      <c r="WTP8" s="216"/>
      <c r="WTQ8" s="216"/>
      <c r="WTR8" s="216"/>
      <c r="WTS8" s="216"/>
      <c r="WTT8" s="216"/>
      <c r="WTU8" s="216"/>
      <c r="WTV8" s="216"/>
      <c r="WTW8" s="216"/>
      <c r="WTX8" s="216"/>
      <c r="WTY8" s="216"/>
      <c r="WTZ8" s="216"/>
      <c r="WUA8" s="216"/>
      <c r="WUB8" s="216"/>
      <c r="WUC8" s="216"/>
      <c r="WUD8" s="216"/>
      <c r="WUE8" s="216"/>
      <c r="WUF8" s="216"/>
      <c r="WUG8" s="216"/>
      <c r="WUH8" s="216"/>
      <c r="WUI8" s="216"/>
      <c r="WUJ8" s="216"/>
      <c r="WUK8" s="216"/>
      <c r="WUL8" s="216"/>
      <c r="WUM8" s="216"/>
      <c r="WUN8" s="216"/>
      <c r="WUO8" s="216"/>
      <c r="WUP8" s="216"/>
      <c r="WUQ8" s="216"/>
      <c r="WUR8" s="216"/>
      <c r="WUS8" s="216"/>
      <c r="WUT8" s="216"/>
      <c r="WUU8" s="216"/>
      <c r="WUV8" s="216"/>
      <c r="WUW8" s="216"/>
      <c r="WUX8" s="216"/>
      <c r="WUY8" s="216"/>
      <c r="WUZ8" s="216"/>
      <c r="WVA8" s="216"/>
      <c r="WVB8" s="216"/>
      <c r="WVC8" s="216"/>
      <c r="WVD8" s="216"/>
      <c r="WVE8" s="216"/>
      <c r="WVF8" s="216"/>
      <c r="WVG8" s="216"/>
      <c r="WVH8" s="216"/>
      <c r="WVI8" s="216"/>
      <c r="WVJ8" s="216"/>
      <c r="WVK8" s="216"/>
      <c r="WVL8" s="216"/>
      <c r="WVM8" s="216"/>
      <c r="WVN8" s="216"/>
      <c r="WVO8" s="216"/>
      <c r="WVP8" s="216"/>
      <c r="WVQ8" s="216"/>
      <c r="WVR8" s="216"/>
      <c r="WVS8" s="216"/>
      <c r="WVT8" s="216"/>
      <c r="WVU8" s="216"/>
      <c r="WVV8" s="216"/>
      <c r="WVW8" s="216"/>
      <c r="WVX8" s="216"/>
      <c r="WVY8" s="216"/>
      <c r="WVZ8" s="216"/>
      <c r="WWA8" s="216"/>
      <c r="WWB8" s="216"/>
      <c r="WWC8" s="216"/>
      <c r="WWD8" s="216"/>
      <c r="WWE8" s="216"/>
      <c r="WWF8" s="216"/>
      <c r="WWG8" s="216"/>
      <c r="WWH8" s="216"/>
      <c r="WWI8" s="216"/>
      <c r="WWJ8" s="216"/>
      <c r="WWK8" s="216"/>
      <c r="WWL8" s="216"/>
      <c r="WWM8" s="216"/>
      <c r="WWN8" s="216"/>
      <c r="WWO8" s="216"/>
      <c r="WWP8" s="216"/>
      <c r="WWQ8" s="216"/>
      <c r="WWR8" s="216"/>
      <c r="WWS8" s="216"/>
      <c r="WWT8" s="216"/>
      <c r="WWU8" s="216"/>
      <c r="WWV8" s="216"/>
      <c r="WWW8" s="216"/>
      <c r="WWX8" s="216"/>
      <c r="WWY8" s="216"/>
      <c r="WWZ8" s="216"/>
      <c r="WXA8" s="216"/>
      <c r="WXB8" s="216"/>
      <c r="WXC8" s="216"/>
      <c r="WXD8" s="216"/>
      <c r="WXE8" s="216"/>
      <c r="WXF8" s="216"/>
      <c r="WXG8" s="216"/>
      <c r="WXH8" s="216"/>
      <c r="WXI8" s="216"/>
      <c r="WXJ8" s="216"/>
      <c r="WXK8" s="216"/>
      <c r="WXL8" s="216"/>
      <c r="WXM8" s="216"/>
      <c r="WXN8" s="216"/>
      <c r="WXO8" s="216"/>
      <c r="WXP8" s="216"/>
      <c r="WXQ8" s="216"/>
      <c r="WXR8" s="216"/>
      <c r="WXS8" s="216"/>
      <c r="WXT8" s="216"/>
      <c r="WXU8" s="216"/>
      <c r="WXV8" s="216"/>
      <c r="WXW8" s="216"/>
      <c r="WXX8" s="216"/>
      <c r="WXY8" s="216"/>
      <c r="WXZ8" s="216"/>
      <c r="WYA8" s="216"/>
      <c r="WYB8" s="216"/>
      <c r="WYC8" s="216"/>
      <c r="WYD8" s="216"/>
      <c r="WYE8" s="216"/>
      <c r="WYF8" s="216"/>
      <c r="WYG8" s="216"/>
      <c r="WYH8" s="216"/>
      <c r="WYI8" s="216"/>
      <c r="WYJ8" s="216"/>
      <c r="WYK8" s="216"/>
      <c r="WYL8" s="216"/>
      <c r="WYM8" s="216"/>
      <c r="WYN8" s="216"/>
      <c r="WYO8" s="216"/>
      <c r="WYP8" s="216"/>
      <c r="WYQ8" s="216"/>
      <c r="WYR8" s="216"/>
      <c r="WYS8" s="216"/>
      <c r="WYT8" s="216"/>
      <c r="WYU8" s="216"/>
      <c r="WYV8" s="216"/>
      <c r="WYW8" s="216"/>
      <c r="WYX8" s="216"/>
      <c r="WYY8" s="216"/>
      <c r="WYZ8" s="216"/>
      <c r="WZA8" s="216"/>
      <c r="WZB8" s="216"/>
      <c r="WZC8" s="216"/>
      <c r="WZD8" s="216"/>
      <c r="WZE8" s="216"/>
      <c r="WZF8" s="216"/>
      <c r="WZG8" s="216"/>
      <c r="WZH8" s="216"/>
      <c r="WZI8" s="216"/>
      <c r="WZJ8" s="216"/>
      <c r="WZK8" s="216"/>
      <c r="WZL8" s="216"/>
      <c r="WZM8" s="216"/>
      <c r="WZN8" s="216"/>
      <c r="WZO8" s="216"/>
      <c r="WZP8" s="216"/>
      <c r="WZQ8" s="216"/>
      <c r="WZR8" s="216"/>
      <c r="WZS8" s="216"/>
      <c r="WZT8" s="216"/>
      <c r="WZU8" s="216"/>
      <c r="WZV8" s="216"/>
      <c r="WZW8" s="216"/>
      <c r="WZX8" s="216"/>
      <c r="WZY8" s="216"/>
      <c r="WZZ8" s="216"/>
      <c r="XAA8" s="216"/>
      <c r="XAB8" s="216"/>
      <c r="XAC8" s="216"/>
      <c r="XAD8" s="216"/>
      <c r="XAE8" s="216"/>
      <c r="XAF8" s="216"/>
      <c r="XAG8" s="216"/>
      <c r="XAH8" s="216"/>
      <c r="XAI8" s="216"/>
      <c r="XAJ8" s="216"/>
      <c r="XAK8" s="216"/>
      <c r="XAL8" s="216"/>
      <c r="XAM8" s="216"/>
      <c r="XAN8" s="216"/>
      <c r="XAO8" s="216"/>
      <c r="XAP8" s="216"/>
      <c r="XAQ8" s="216"/>
      <c r="XAR8" s="216"/>
      <c r="XAS8" s="216"/>
      <c r="XAT8" s="216"/>
      <c r="XAU8" s="216"/>
      <c r="XAV8" s="216"/>
      <c r="XAW8" s="216"/>
      <c r="XAX8" s="216"/>
      <c r="XAY8" s="216"/>
      <c r="XAZ8" s="216"/>
      <c r="XBA8" s="216"/>
      <c r="XBB8" s="216"/>
      <c r="XBC8" s="216"/>
      <c r="XBD8" s="216"/>
      <c r="XBE8" s="216"/>
      <c r="XBF8" s="216"/>
      <c r="XBG8" s="216"/>
      <c r="XBH8" s="216"/>
      <c r="XBI8" s="216"/>
      <c r="XBJ8" s="216"/>
      <c r="XBK8" s="216"/>
      <c r="XBL8" s="216"/>
      <c r="XBM8" s="216"/>
      <c r="XBN8" s="216"/>
      <c r="XBO8" s="216"/>
      <c r="XBP8" s="216"/>
      <c r="XBQ8" s="216"/>
      <c r="XBR8" s="216"/>
      <c r="XBS8" s="216"/>
      <c r="XBT8" s="216"/>
      <c r="XBU8" s="216"/>
      <c r="XBV8" s="216"/>
      <c r="XBW8" s="216"/>
      <c r="XBX8" s="216"/>
      <c r="XBY8" s="216"/>
      <c r="XBZ8" s="216"/>
      <c r="XCA8" s="216"/>
      <c r="XCB8" s="216"/>
      <c r="XCC8" s="216"/>
      <c r="XCD8" s="216"/>
      <c r="XCE8" s="216"/>
      <c r="XCF8" s="216"/>
      <c r="XCG8" s="216"/>
      <c r="XCH8" s="216"/>
      <c r="XCI8" s="216"/>
      <c r="XCJ8" s="216"/>
      <c r="XCK8" s="216"/>
      <c r="XCL8" s="216"/>
      <c r="XCM8" s="216"/>
      <c r="XCN8" s="216"/>
      <c r="XCO8" s="216"/>
      <c r="XCP8" s="216"/>
      <c r="XCQ8" s="216"/>
      <c r="XCR8" s="216"/>
      <c r="XCS8" s="216"/>
      <c r="XCT8" s="216"/>
      <c r="XCU8" s="216"/>
      <c r="XCV8" s="216"/>
      <c r="XCW8" s="216"/>
      <c r="XCX8" s="216"/>
      <c r="XCY8" s="216"/>
      <c r="XCZ8" s="216"/>
      <c r="XDA8" s="216"/>
      <c r="XDB8" s="216"/>
      <c r="XDC8" s="216"/>
      <c r="XDD8" s="216"/>
      <c r="XDE8" s="216"/>
      <c r="XDF8" s="216"/>
      <c r="XDG8" s="216"/>
      <c r="XDH8" s="216"/>
      <c r="XDI8" s="216"/>
      <c r="XDJ8" s="216"/>
      <c r="XDK8" s="216"/>
      <c r="XDL8" s="216"/>
      <c r="XDM8" s="216"/>
      <c r="XDN8" s="216"/>
      <c r="XDO8" s="216"/>
      <c r="XDP8" s="216"/>
      <c r="XDQ8" s="216"/>
      <c r="XDR8" s="216"/>
      <c r="XDS8" s="216"/>
      <c r="XDT8" s="216"/>
      <c r="XDU8" s="216"/>
      <c r="XDV8" s="216"/>
      <c r="XDW8" s="216"/>
      <c r="XDX8" s="216"/>
      <c r="XDY8" s="216"/>
      <c r="XDZ8" s="216"/>
      <c r="XEA8" s="216"/>
      <c r="XEB8" s="216"/>
      <c r="XEC8" s="216"/>
      <c r="XED8" s="216"/>
      <c r="XEE8" s="216"/>
      <c r="XEF8" s="216"/>
      <c r="XEG8" s="216"/>
      <c r="XEH8" s="216"/>
      <c r="XEI8" s="216"/>
      <c r="XEJ8" s="216"/>
      <c r="XEK8" s="216"/>
      <c r="XEL8" s="216"/>
      <c r="XEM8" s="216"/>
      <c r="XEN8" s="216"/>
      <c r="XEO8" s="216"/>
      <c r="XEP8" s="216"/>
      <c r="XEQ8" s="216"/>
      <c r="XER8" s="216"/>
      <c r="XES8" s="216"/>
      <c r="XET8" s="216"/>
      <c r="XEU8" s="216"/>
      <c r="XEV8" s="216"/>
      <c r="XEW8" s="216"/>
      <c r="XEX8" s="216"/>
      <c r="XEY8" s="216"/>
      <c r="XEZ8" s="216"/>
      <c r="XFA8" s="216"/>
      <c r="XFB8" s="216"/>
      <c r="XFC8" s="216"/>
    </row>
    <row r="9" spans="1:16383" s="12" customFormat="1" ht="24.75" customHeight="1" x14ac:dyDescent="0.3">
      <c r="A9" s="79" t="s">
        <v>251</v>
      </c>
      <c r="B9" s="80" t="s">
        <v>261</v>
      </c>
      <c r="C9" s="80" t="s">
        <v>252</v>
      </c>
      <c r="D9" s="80" t="s">
        <v>347</v>
      </c>
      <c r="E9" s="80" t="s">
        <v>253</v>
      </c>
      <c r="F9" s="80" t="s">
        <v>254</v>
      </c>
      <c r="G9" s="80" t="s">
        <v>255</v>
      </c>
      <c r="H9" s="80" t="s">
        <v>256</v>
      </c>
    </row>
    <row r="10" spans="1:16383" ht="24" customHeight="1" x14ac:dyDescent="0.3">
      <c r="A10" s="66" t="s">
        <v>262</v>
      </c>
      <c r="B10" s="86">
        <f>'05_Variance_Analysis'!C8</f>
        <v>3902400</v>
      </c>
      <c r="C10" s="86">
        <f>'05_Variance_Analysis'!E8</f>
        <v>4006700</v>
      </c>
      <c r="D10" s="86">
        <f>'05_Variance_Analysis'!F8</f>
        <v>-43700</v>
      </c>
      <c r="E10" s="86">
        <f>'05_Variance_Analysis'!G8</f>
        <v>-60600</v>
      </c>
      <c r="F10" s="81">
        <f>B10-C10</f>
        <v>-104300</v>
      </c>
      <c r="G10" s="84">
        <f>B10/'04_Actual_Production_&amp;_Costs'!$F$4</f>
        <v>40.65</v>
      </c>
      <c r="H10" s="84">
        <f>C10/'04_Actual_Production_&amp;_Costs'!$F$4</f>
        <v>41.736458333333331</v>
      </c>
    </row>
    <row r="11" spans="1:16383" ht="24" customHeight="1" x14ac:dyDescent="0.3">
      <c r="A11" s="66" t="s">
        <v>257</v>
      </c>
      <c r="B11" s="86">
        <f>'05_Variance_Analysis'!C15</f>
        <v>1152000</v>
      </c>
      <c r="C11" s="86">
        <f>'05_Variance_Analysis'!E15</f>
        <v>1196640</v>
      </c>
      <c r="D11" s="86">
        <f>'05_Variance_Analysis'!F15</f>
        <v>8460</v>
      </c>
      <c r="E11" s="86">
        <f>'05_Variance_Analysis'!G15</f>
        <v>-53100</v>
      </c>
      <c r="F11" s="81">
        <f t="shared" ref="F11:F13" si="0">B11-C11</f>
        <v>-44640</v>
      </c>
      <c r="G11" s="84">
        <f>B11/'04_Actual_Production_&amp;_Costs'!$F$4</f>
        <v>12</v>
      </c>
      <c r="H11" s="84">
        <f>C11/'04_Actual_Production_&amp;_Costs'!$F$4</f>
        <v>12.465</v>
      </c>
    </row>
    <row r="12" spans="1:16383" ht="24" customHeight="1" x14ac:dyDescent="0.3">
      <c r="A12" s="66" t="s">
        <v>258</v>
      </c>
      <c r="B12" s="86">
        <f>'05_Variance_Analysis'!C20</f>
        <v>432000</v>
      </c>
      <c r="C12" s="86">
        <f>'05_Variance_Analysis'!E20</f>
        <v>464310</v>
      </c>
      <c r="D12" s="86">
        <f>'05_Variance_Analysis'!F20</f>
        <v>-12060</v>
      </c>
      <c r="E12" s="86">
        <f>'05_Variance_Analysis'!G20</f>
        <v>-20250</v>
      </c>
      <c r="F12" s="81">
        <f t="shared" si="0"/>
        <v>-32310</v>
      </c>
      <c r="G12" s="84">
        <f>B12/'04_Actual_Production_&amp;_Costs'!$F$4</f>
        <v>4.5</v>
      </c>
      <c r="H12" s="84">
        <f>C12/'04_Actual_Production_&amp;_Costs'!$F$4</f>
        <v>4.8365625000000003</v>
      </c>
    </row>
    <row r="13" spans="1:16383" ht="24" customHeight="1" x14ac:dyDescent="0.3">
      <c r="A13" s="66" t="s">
        <v>259</v>
      </c>
      <c r="B13" s="86">
        <f>'05_Variance_Analysis'!C21</f>
        <v>633600</v>
      </c>
      <c r="C13" s="86">
        <f>'05_Variance_Analysis'!E21</f>
        <v>672000</v>
      </c>
      <c r="D13" s="86">
        <f>'05_Variance_Analysis'!F21</f>
        <v>-12000</v>
      </c>
      <c r="E13" s="86">
        <f>'05_Variance_Analysis'!G21</f>
        <v>-26400</v>
      </c>
      <c r="F13" s="81">
        <f t="shared" si="0"/>
        <v>-38400</v>
      </c>
      <c r="G13" s="84">
        <f>B13/'04_Actual_Production_&amp;_Costs'!$F$4</f>
        <v>6.6</v>
      </c>
      <c r="H13" s="84">
        <f>C13/'04_Actual_Production_&amp;_Costs'!$F$4</f>
        <v>7</v>
      </c>
    </row>
    <row r="14" spans="1:16383" s="5" customFormat="1" ht="24" customHeight="1" thickBot="1" x14ac:dyDescent="0.35">
      <c r="A14" s="82" t="s">
        <v>260</v>
      </c>
      <c r="B14" s="83">
        <f>SUM(B10:B13)</f>
        <v>6120000</v>
      </c>
      <c r="C14" s="83">
        <f t="shared" ref="C14:H14" si="1">SUM(C10:C13)</f>
        <v>6339650</v>
      </c>
      <c r="D14" s="83">
        <f t="shared" si="1"/>
        <v>-59300</v>
      </c>
      <c r="E14" s="83">
        <f t="shared" si="1"/>
        <v>-160350</v>
      </c>
      <c r="F14" s="83">
        <f t="shared" si="1"/>
        <v>-219650</v>
      </c>
      <c r="G14" s="85">
        <f t="shared" si="1"/>
        <v>63.75</v>
      </c>
      <c r="H14" s="85">
        <f t="shared" si="1"/>
        <v>66.038020833333334</v>
      </c>
    </row>
    <row r="15" spans="1:16383" ht="15" thickTop="1" x14ac:dyDescent="0.3"/>
    <row r="33" spans="1:16383" s="12" customFormat="1" x14ac:dyDescent="0.3">
      <c r="A33" s="220" t="s">
        <v>274</v>
      </c>
      <c r="B33" s="220"/>
      <c r="C33" s="220"/>
      <c r="D33" s="220"/>
      <c r="E33" s="220"/>
      <c r="F33" s="220"/>
      <c r="G33" s="220"/>
      <c r="H33" s="220"/>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c r="CY33" s="216"/>
      <c r="CZ33" s="216"/>
      <c r="DA33" s="216"/>
      <c r="DB33" s="216"/>
      <c r="DC33" s="216"/>
      <c r="DD33" s="216"/>
      <c r="DE33" s="216"/>
      <c r="DF33" s="216"/>
      <c r="DG33" s="216"/>
      <c r="DH33" s="216"/>
      <c r="DI33" s="216"/>
      <c r="DJ33" s="216"/>
      <c r="DK33" s="216"/>
      <c r="DL33" s="216"/>
      <c r="DM33" s="216"/>
      <c r="DN33" s="216"/>
      <c r="DO33" s="216"/>
      <c r="DP33" s="216"/>
      <c r="DQ33" s="216"/>
      <c r="DR33" s="216"/>
      <c r="DS33" s="216"/>
      <c r="DT33" s="216"/>
      <c r="DU33" s="216"/>
      <c r="DV33" s="216"/>
      <c r="DW33" s="216"/>
      <c r="DX33" s="216"/>
      <c r="DY33" s="216"/>
      <c r="DZ33" s="216"/>
      <c r="EA33" s="216"/>
      <c r="EB33" s="216"/>
      <c r="EC33" s="216"/>
      <c r="ED33" s="216"/>
      <c r="EE33" s="216"/>
      <c r="EF33" s="216"/>
      <c r="EG33" s="216"/>
      <c r="EH33" s="216"/>
      <c r="EI33" s="216"/>
      <c r="EJ33" s="216"/>
      <c r="EK33" s="216"/>
      <c r="EL33" s="216"/>
      <c r="EM33" s="216"/>
      <c r="EN33" s="216"/>
      <c r="EO33" s="216"/>
      <c r="EP33" s="216"/>
      <c r="EQ33" s="216"/>
      <c r="ER33" s="216"/>
      <c r="ES33" s="216"/>
      <c r="ET33" s="216"/>
      <c r="EU33" s="216"/>
      <c r="EV33" s="216"/>
      <c r="EW33" s="216"/>
      <c r="EX33" s="216"/>
      <c r="EY33" s="216"/>
      <c r="EZ33" s="216"/>
      <c r="FA33" s="216"/>
      <c r="FB33" s="216"/>
      <c r="FC33" s="216"/>
      <c r="FD33" s="216"/>
      <c r="FE33" s="216"/>
      <c r="FF33" s="216"/>
      <c r="FG33" s="216"/>
      <c r="FH33" s="216"/>
      <c r="FI33" s="216"/>
      <c r="FJ33" s="216"/>
      <c r="FK33" s="216"/>
      <c r="FL33" s="216"/>
      <c r="FM33" s="216"/>
      <c r="FN33" s="216"/>
      <c r="FO33" s="216"/>
      <c r="FP33" s="216"/>
      <c r="FQ33" s="216"/>
      <c r="FR33" s="216"/>
      <c r="FS33" s="216"/>
      <c r="FT33" s="216"/>
      <c r="FU33" s="216"/>
      <c r="FV33" s="216"/>
      <c r="FW33" s="216"/>
      <c r="FX33" s="216"/>
      <c r="FY33" s="216"/>
      <c r="FZ33" s="216"/>
      <c r="GA33" s="216"/>
      <c r="GB33" s="216"/>
      <c r="GC33" s="216"/>
      <c r="GD33" s="216"/>
      <c r="GE33" s="216"/>
      <c r="GF33" s="216"/>
      <c r="GG33" s="216"/>
      <c r="GH33" s="216"/>
      <c r="GI33" s="216"/>
      <c r="GJ33" s="216"/>
      <c r="GK33" s="216"/>
      <c r="GL33" s="216"/>
      <c r="GM33" s="216"/>
      <c r="GN33" s="216"/>
      <c r="GO33" s="216"/>
      <c r="GP33" s="216"/>
      <c r="GQ33" s="216"/>
      <c r="GR33" s="216"/>
      <c r="GS33" s="216"/>
      <c r="GT33" s="216"/>
      <c r="GU33" s="216"/>
      <c r="GV33" s="216"/>
      <c r="GW33" s="216"/>
      <c r="GX33" s="216"/>
      <c r="GY33" s="216"/>
      <c r="GZ33" s="216"/>
      <c r="HA33" s="216"/>
      <c r="HB33" s="216"/>
      <c r="HC33" s="216"/>
      <c r="HD33" s="216"/>
      <c r="HE33" s="216"/>
      <c r="HF33" s="216"/>
      <c r="HG33" s="216"/>
      <c r="HH33" s="216"/>
      <c r="HI33" s="216"/>
      <c r="HJ33" s="216"/>
      <c r="HK33" s="216"/>
      <c r="HL33" s="216"/>
      <c r="HM33" s="216"/>
      <c r="HN33" s="216"/>
      <c r="HO33" s="216"/>
      <c r="HP33" s="216"/>
      <c r="HQ33" s="216"/>
      <c r="HR33" s="216"/>
      <c r="HS33" s="216"/>
      <c r="HT33" s="216"/>
      <c r="HU33" s="216"/>
      <c r="HV33" s="216"/>
      <c r="HW33" s="216"/>
      <c r="HX33" s="216"/>
      <c r="HY33" s="216"/>
      <c r="HZ33" s="216"/>
      <c r="IA33" s="216"/>
      <c r="IB33" s="216"/>
      <c r="IC33" s="216"/>
      <c r="ID33" s="216"/>
      <c r="IE33" s="216"/>
      <c r="IF33" s="216"/>
      <c r="IG33" s="216"/>
      <c r="IH33" s="216"/>
      <c r="II33" s="216"/>
      <c r="IJ33" s="216"/>
      <c r="IK33" s="216"/>
      <c r="IL33" s="216"/>
      <c r="IM33" s="216"/>
      <c r="IN33" s="216"/>
      <c r="IO33" s="216"/>
      <c r="IP33" s="216"/>
      <c r="IQ33" s="216"/>
      <c r="IR33" s="216"/>
      <c r="IS33" s="216"/>
      <c r="IT33" s="216"/>
      <c r="IU33" s="216"/>
      <c r="IV33" s="216"/>
      <c r="IW33" s="216"/>
      <c r="IX33" s="216"/>
      <c r="IY33" s="216"/>
      <c r="IZ33" s="216"/>
      <c r="JA33" s="216"/>
      <c r="JB33" s="216"/>
      <c r="JC33" s="216"/>
      <c r="JD33" s="216"/>
      <c r="JE33" s="216"/>
      <c r="JF33" s="216"/>
      <c r="JG33" s="216"/>
      <c r="JH33" s="216"/>
      <c r="JI33" s="216"/>
      <c r="JJ33" s="216"/>
      <c r="JK33" s="216"/>
      <c r="JL33" s="216"/>
      <c r="JM33" s="216"/>
      <c r="JN33" s="216"/>
      <c r="JO33" s="216"/>
      <c r="JP33" s="216"/>
      <c r="JQ33" s="216"/>
      <c r="JR33" s="216"/>
      <c r="JS33" s="216"/>
      <c r="JT33" s="216"/>
      <c r="JU33" s="216"/>
      <c r="JV33" s="216"/>
      <c r="JW33" s="216"/>
      <c r="JX33" s="216"/>
      <c r="JY33" s="216"/>
      <c r="JZ33" s="216"/>
      <c r="KA33" s="216"/>
      <c r="KB33" s="216"/>
      <c r="KC33" s="216"/>
      <c r="KD33" s="216"/>
      <c r="KE33" s="216"/>
      <c r="KF33" s="216"/>
      <c r="KG33" s="216"/>
      <c r="KH33" s="216"/>
      <c r="KI33" s="216"/>
      <c r="KJ33" s="216"/>
      <c r="KK33" s="216"/>
      <c r="KL33" s="216"/>
      <c r="KM33" s="216"/>
      <c r="KN33" s="216"/>
      <c r="KO33" s="216"/>
      <c r="KP33" s="216"/>
      <c r="KQ33" s="216"/>
      <c r="KR33" s="216"/>
      <c r="KS33" s="216"/>
      <c r="KT33" s="216"/>
      <c r="KU33" s="216"/>
      <c r="KV33" s="216"/>
      <c r="KW33" s="216"/>
      <c r="KX33" s="216"/>
      <c r="KY33" s="216"/>
      <c r="KZ33" s="216"/>
      <c r="LA33" s="216"/>
      <c r="LB33" s="216"/>
      <c r="LC33" s="216"/>
      <c r="LD33" s="216"/>
      <c r="LE33" s="216"/>
      <c r="LF33" s="216"/>
      <c r="LG33" s="216"/>
      <c r="LH33" s="216"/>
      <c r="LI33" s="216"/>
      <c r="LJ33" s="216"/>
      <c r="LK33" s="216"/>
      <c r="LL33" s="216"/>
      <c r="LM33" s="216"/>
      <c r="LN33" s="216"/>
      <c r="LO33" s="216"/>
      <c r="LP33" s="216"/>
      <c r="LQ33" s="216"/>
      <c r="LR33" s="216"/>
      <c r="LS33" s="216"/>
      <c r="LT33" s="216"/>
      <c r="LU33" s="216"/>
      <c r="LV33" s="216"/>
      <c r="LW33" s="216"/>
      <c r="LX33" s="216"/>
      <c r="LY33" s="216"/>
      <c r="LZ33" s="216"/>
      <c r="MA33" s="216"/>
      <c r="MB33" s="216"/>
      <c r="MC33" s="216"/>
      <c r="MD33" s="216"/>
      <c r="ME33" s="216"/>
      <c r="MF33" s="216"/>
      <c r="MG33" s="216"/>
      <c r="MH33" s="216"/>
      <c r="MI33" s="216"/>
      <c r="MJ33" s="216"/>
      <c r="MK33" s="216"/>
      <c r="ML33" s="216"/>
      <c r="MM33" s="216"/>
      <c r="MN33" s="216"/>
      <c r="MO33" s="216"/>
      <c r="MP33" s="216"/>
      <c r="MQ33" s="216"/>
      <c r="MR33" s="216"/>
      <c r="MS33" s="216"/>
      <c r="MT33" s="216"/>
      <c r="MU33" s="216"/>
      <c r="MV33" s="216"/>
      <c r="MW33" s="216"/>
      <c r="MX33" s="216"/>
      <c r="MY33" s="216"/>
      <c r="MZ33" s="216"/>
      <c r="NA33" s="216"/>
      <c r="NB33" s="216"/>
      <c r="NC33" s="216"/>
      <c r="ND33" s="216"/>
      <c r="NE33" s="216"/>
      <c r="NF33" s="216"/>
      <c r="NG33" s="216"/>
      <c r="NH33" s="216"/>
      <c r="NI33" s="216"/>
      <c r="NJ33" s="216"/>
      <c r="NK33" s="216"/>
      <c r="NL33" s="216"/>
      <c r="NM33" s="216"/>
      <c r="NN33" s="216"/>
      <c r="NO33" s="216"/>
      <c r="NP33" s="216"/>
      <c r="NQ33" s="216"/>
      <c r="NR33" s="216"/>
      <c r="NS33" s="216"/>
      <c r="NT33" s="216"/>
      <c r="NU33" s="216"/>
      <c r="NV33" s="216"/>
      <c r="NW33" s="216"/>
      <c r="NX33" s="216"/>
      <c r="NY33" s="216"/>
      <c r="NZ33" s="216"/>
      <c r="OA33" s="216"/>
      <c r="OB33" s="216"/>
      <c r="OC33" s="216"/>
      <c r="OD33" s="216"/>
      <c r="OE33" s="216"/>
      <c r="OF33" s="216"/>
      <c r="OG33" s="216"/>
      <c r="OH33" s="216"/>
      <c r="OI33" s="216"/>
      <c r="OJ33" s="216"/>
      <c r="OK33" s="216"/>
      <c r="OL33" s="216"/>
      <c r="OM33" s="216"/>
      <c r="ON33" s="216"/>
      <c r="OO33" s="216"/>
      <c r="OP33" s="216"/>
      <c r="OQ33" s="216"/>
      <c r="OR33" s="216"/>
      <c r="OS33" s="216"/>
      <c r="OT33" s="216"/>
      <c r="OU33" s="216"/>
      <c r="OV33" s="216"/>
      <c r="OW33" s="216"/>
      <c r="OX33" s="216"/>
      <c r="OY33" s="216"/>
      <c r="OZ33" s="216"/>
      <c r="PA33" s="216"/>
      <c r="PB33" s="216"/>
      <c r="PC33" s="216"/>
      <c r="PD33" s="216"/>
      <c r="PE33" s="216"/>
      <c r="PF33" s="216"/>
      <c r="PG33" s="216"/>
      <c r="PH33" s="216"/>
      <c r="PI33" s="216"/>
      <c r="PJ33" s="216"/>
      <c r="PK33" s="216"/>
      <c r="PL33" s="216"/>
      <c r="PM33" s="216"/>
      <c r="PN33" s="216"/>
      <c r="PO33" s="216"/>
      <c r="PP33" s="216"/>
      <c r="PQ33" s="216"/>
      <c r="PR33" s="216"/>
      <c r="PS33" s="216"/>
      <c r="PT33" s="216"/>
      <c r="PU33" s="216"/>
      <c r="PV33" s="216"/>
      <c r="PW33" s="216"/>
      <c r="PX33" s="216"/>
      <c r="PY33" s="216"/>
      <c r="PZ33" s="216"/>
      <c r="QA33" s="216"/>
      <c r="QB33" s="216"/>
      <c r="QC33" s="216"/>
      <c r="QD33" s="216"/>
      <c r="QE33" s="216"/>
      <c r="QF33" s="216"/>
      <c r="QG33" s="216"/>
      <c r="QH33" s="216"/>
      <c r="QI33" s="216"/>
      <c r="QJ33" s="216"/>
      <c r="QK33" s="216"/>
      <c r="QL33" s="216"/>
      <c r="QM33" s="216"/>
      <c r="QN33" s="216"/>
      <c r="QO33" s="216"/>
      <c r="QP33" s="216"/>
      <c r="QQ33" s="216"/>
      <c r="QR33" s="216"/>
      <c r="QS33" s="216"/>
      <c r="QT33" s="216"/>
      <c r="QU33" s="216"/>
      <c r="QV33" s="216"/>
      <c r="QW33" s="216"/>
      <c r="QX33" s="216"/>
      <c r="QY33" s="216"/>
      <c r="QZ33" s="216"/>
      <c r="RA33" s="216"/>
      <c r="RB33" s="216"/>
      <c r="RC33" s="216"/>
      <c r="RD33" s="216"/>
      <c r="RE33" s="216"/>
      <c r="RF33" s="216"/>
      <c r="RG33" s="216"/>
      <c r="RH33" s="216"/>
      <c r="RI33" s="216"/>
      <c r="RJ33" s="216"/>
      <c r="RK33" s="216"/>
      <c r="RL33" s="216"/>
      <c r="RM33" s="216"/>
      <c r="RN33" s="216"/>
      <c r="RO33" s="216"/>
      <c r="RP33" s="216"/>
      <c r="RQ33" s="216"/>
      <c r="RR33" s="216"/>
      <c r="RS33" s="216"/>
      <c r="RT33" s="216"/>
      <c r="RU33" s="216"/>
      <c r="RV33" s="216"/>
      <c r="RW33" s="216"/>
      <c r="RX33" s="216"/>
      <c r="RY33" s="216"/>
      <c r="RZ33" s="216"/>
      <c r="SA33" s="216"/>
      <c r="SB33" s="216"/>
      <c r="SC33" s="216"/>
      <c r="SD33" s="216"/>
      <c r="SE33" s="216"/>
      <c r="SF33" s="216"/>
      <c r="SG33" s="216"/>
      <c r="SH33" s="216"/>
      <c r="SI33" s="216"/>
      <c r="SJ33" s="216"/>
      <c r="SK33" s="216"/>
      <c r="SL33" s="216"/>
      <c r="SM33" s="216"/>
      <c r="SN33" s="216"/>
      <c r="SO33" s="216"/>
      <c r="SP33" s="216"/>
      <c r="SQ33" s="216"/>
      <c r="SR33" s="216"/>
      <c r="SS33" s="216"/>
      <c r="ST33" s="216"/>
      <c r="SU33" s="216"/>
      <c r="SV33" s="216"/>
      <c r="SW33" s="216"/>
      <c r="SX33" s="216"/>
      <c r="SY33" s="216"/>
      <c r="SZ33" s="216"/>
      <c r="TA33" s="216"/>
      <c r="TB33" s="216"/>
      <c r="TC33" s="216"/>
      <c r="TD33" s="216"/>
      <c r="TE33" s="216"/>
      <c r="TF33" s="216"/>
      <c r="TG33" s="216"/>
      <c r="TH33" s="216"/>
      <c r="TI33" s="216"/>
      <c r="TJ33" s="216"/>
      <c r="TK33" s="216"/>
      <c r="TL33" s="216"/>
      <c r="TM33" s="216"/>
      <c r="TN33" s="216"/>
      <c r="TO33" s="216"/>
      <c r="TP33" s="216"/>
      <c r="TQ33" s="216"/>
      <c r="TR33" s="216"/>
      <c r="TS33" s="216"/>
      <c r="TT33" s="216"/>
      <c r="TU33" s="216"/>
      <c r="TV33" s="216"/>
      <c r="TW33" s="216"/>
      <c r="TX33" s="216"/>
      <c r="TY33" s="216"/>
      <c r="TZ33" s="216"/>
      <c r="UA33" s="216"/>
      <c r="UB33" s="216"/>
      <c r="UC33" s="216"/>
      <c r="UD33" s="216"/>
      <c r="UE33" s="216"/>
      <c r="UF33" s="216"/>
      <c r="UG33" s="216"/>
      <c r="UH33" s="216"/>
      <c r="UI33" s="216"/>
      <c r="UJ33" s="216"/>
      <c r="UK33" s="216"/>
      <c r="UL33" s="216"/>
      <c r="UM33" s="216"/>
      <c r="UN33" s="216"/>
      <c r="UO33" s="216"/>
      <c r="UP33" s="216"/>
      <c r="UQ33" s="216"/>
      <c r="UR33" s="216"/>
      <c r="US33" s="216"/>
      <c r="UT33" s="216"/>
      <c r="UU33" s="216"/>
      <c r="UV33" s="216"/>
      <c r="UW33" s="216"/>
      <c r="UX33" s="216"/>
      <c r="UY33" s="216"/>
      <c r="UZ33" s="216"/>
      <c r="VA33" s="216"/>
      <c r="VB33" s="216"/>
      <c r="VC33" s="216"/>
      <c r="VD33" s="216"/>
      <c r="VE33" s="216"/>
      <c r="VF33" s="216"/>
      <c r="VG33" s="216"/>
      <c r="VH33" s="216"/>
      <c r="VI33" s="216"/>
      <c r="VJ33" s="216"/>
      <c r="VK33" s="216"/>
      <c r="VL33" s="216"/>
      <c r="VM33" s="216"/>
      <c r="VN33" s="216"/>
      <c r="VO33" s="216"/>
      <c r="VP33" s="216"/>
      <c r="VQ33" s="216"/>
      <c r="VR33" s="216"/>
      <c r="VS33" s="216"/>
      <c r="VT33" s="216"/>
      <c r="VU33" s="216"/>
      <c r="VV33" s="216"/>
      <c r="VW33" s="216"/>
      <c r="VX33" s="216"/>
      <c r="VY33" s="216"/>
      <c r="VZ33" s="216"/>
      <c r="WA33" s="216"/>
      <c r="WB33" s="216"/>
      <c r="WC33" s="216"/>
      <c r="WD33" s="216"/>
      <c r="WE33" s="216"/>
      <c r="WF33" s="216"/>
      <c r="WG33" s="216"/>
      <c r="WH33" s="216"/>
      <c r="WI33" s="216"/>
      <c r="WJ33" s="216"/>
      <c r="WK33" s="216"/>
      <c r="WL33" s="216"/>
      <c r="WM33" s="216"/>
      <c r="WN33" s="216"/>
      <c r="WO33" s="216"/>
      <c r="WP33" s="216"/>
      <c r="WQ33" s="216"/>
      <c r="WR33" s="216"/>
      <c r="WS33" s="216"/>
      <c r="WT33" s="216"/>
      <c r="WU33" s="216"/>
      <c r="WV33" s="216"/>
      <c r="WW33" s="216"/>
      <c r="WX33" s="216"/>
      <c r="WY33" s="216"/>
      <c r="WZ33" s="216"/>
      <c r="XA33" s="216"/>
      <c r="XB33" s="216"/>
      <c r="XC33" s="216"/>
      <c r="XD33" s="216"/>
      <c r="XE33" s="216"/>
      <c r="XF33" s="216"/>
      <c r="XG33" s="216"/>
      <c r="XH33" s="216"/>
      <c r="XI33" s="216"/>
      <c r="XJ33" s="216"/>
      <c r="XK33" s="216"/>
      <c r="XL33" s="216"/>
      <c r="XM33" s="216"/>
      <c r="XN33" s="216"/>
      <c r="XO33" s="216"/>
      <c r="XP33" s="216"/>
      <c r="XQ33" s="216"/>
      <c r="XR33" s="216"/>
      <c r="XS33" s="216"/>
      <c r="XT33" s="216"/>
      <c r="XU33" s="216"/>
      <c r="XV33" s="216"/>
      <c r="XW33" s="216"/>
      <c r="XX33" s="216"/>
      <c r="XY33" s="216"/>
      <c r="XZ33" s="216"/>
      <c r="YA33" s="216"/>
      <c r="YB33" s="216"/>
      <c r="YC33" s="216"/>
      <c r="YD33" s="216"/>
      <c r="YE33" s="216"/>
      <c r="YF33" s="216"/>
      <c r="YG33" s="216"/>
      <c r="YH33" s="216"/>
      <c r="YI33" s="216"/>
      <c r="YJ33" s="216"/>
      <c r="YK33" s="216"/>
      <c r="YL33" s="216"/>
      <c r="YM33" s="216"/>
      <c r="YN33" s="216"/>
      <c r="YO33" s="216"/>
      <c r="YP33" s="216"/>
      <c r="YQ33" s="216"/>
      <c r="YR33" s="216"/>
      <c r="YS33" s="216"/>
      <c r="YT33" s="216"/>
      <c r="YU33" s="216"/>
      <c r="YV33" s="216"/>
      <c r="YW33" s="216"/>
      <c r="YX33" s="216"/>
      <c r="YY33" s="216"/>
      <c r="YZ33" s="216"/>
      <c r="ZA33" s="216"/>
      <c r="ZB33" s="216"/>
      <c r="ZC33" s="216"/>
      <c r="ZD33" s="216"/>
      <c r="ZE33" s="216"/>
      <c r="ZF33" s="216"/>
      <c r="ZG33" s="216"/>
      <c r="ZH33" s="216"/>
      <c r="ZI33" s="216"/>
      <c r="ZJ33" s="216"/>
      <c r="ZK33" s="216"/>
      <c r="ZL33" s="216"/>
      <c r="ZM33" s="216"/>
      <c r="ZN33" s="216"/>
      <c r="ZO33" s="216"/>
      <c r="ZP33" s="216"/>
      <c r="ZQ33" s="216"/>
      <c r="ZR33" s="216"/>
      <c r="ZS33" s="216"/>
      <c r="ZT33" s="216"/>
      <c r="ZU33" s="216"/>
      <c r="ZV33" s="216"/>
      <c r="ZW33" s="216"/>
      <c r="ZX33" s="216"/>
      <c r="ZY33" s="216"/>
      <c r="ZZ33" s="216"/>
      <c r="AAA33" s="216"/>
      <c r="AAB33" s="216"/>
      <c r="AAC33" s="216"/>
      <c r="AAD33" s="216"/>
      <c r="AAE33" s="216"/>
      <c r="AAF33" s="216"/>
      <c r="AAG33" s="216"/>
      <c r="AAH33" s="216"/>
      <c r="AAI33" s="216"/>
      <c r="AAJ33" s="216"/>
      <c r="AAK33" s="216"/>
      <c r="AAL33" s="216"/>
      <c r="AAM33" s="216"/>
      <c r="AAN33" s="216"/>
      <c r="AAO33" s="216"/>
      <c r="AAP33" s="216"/>
      <c r="AAQ33" s="216"/>
      <c r="AAR33" s="216"/>
      <c r="AAS33" s="216"/>
      <c r="AAT33" s="216"/>
      <c r="AAU33" s="216"/>
      <c r="AAV33" s="216"/>
      <c r="AAW33" s="216"/>
      <c r="AAX33" s="216"/>
      <c r="AAY33" s="216"/>
      <c r="AAZ33" s="216"/>
      <c r="ABA33" s="216"/>
      <c r="ABB33" s="216"/>
      <c r="ABC33" s="216"/>
      <c r="ABD33" s="216"/>
      <c r="ABE33" s="216"/>
      <c r="ABF33" s="216"/>
      <c r="ABG33" s="216"/>
      <c r="ABH33" s="216"/>
      <c r="ABI33" s="216"/>
      <c r="ABJ33" s="216"/>
      <c r="ABK33" s="216"/>
      <c r="ABL33" s="216"/>
      <c r="ABM33" s="216"/>
      <c r="ABN33" s="216"/>
      <c r="ABO33" s="216"/>
      <c r="ABP33" s="216"/>
      <c r="ABQ33" s="216"/>
      <c r="ABR33" s="216"/>
      <c r="ABS33" s="216"/>
      <c r="ABT33" s="216"/>
      <c r="ABU33" s="216"/>
      <c r="ABV33" s="216"/>
      <c r="ABW33" s="216"/>
      <c r="ABX33" s="216"/>
      <c r="ABY33" s="216"/>
      <c r="ABZ33" s="216"/>
      <c r="ACA33" s="216"/>
      <c r="ACB33" s="216"/>
      <c r="ACC33" s="216"/>
      <c r="ACD33" s="216"/>
      <c r="ACE33" s="216"/>
      <c r="ACF33" s="216"/>
      <c r="ACG33" s="216"/>
      <c r="ACH33" s="216"/>
      <c r="ACI33" s="216"/>
      <c r="ACJ33" s="216"/>
      <c r="ACK33" s="216"/>
      <c r="ACL33" s="216"/>
      <c r="ACM33" s="216"/>
      <c r="ACN33" s="216"/>
      <c r="ACO33" s="216"/>
      <c r="ACP33" s="216"/>
      <c r="ACQ33" s="216"/>
      <c r="ACR33" s="216"/>
      <c r="ACS33" s="216"/>
      <c r="ACT33" s="216"/>
      <c r="ACU33" s="216"/>
      <c r="ACV33" s="216"/>
      <c r="ACW33" s="216"/>
      <c r="ACX33" s="216"/>
      <c r="ACY33" s="216"/>
      <c r="ACZ33" s="216"/>
      <c r="ADA33" s="216"/>
      <c r="ADB33" s="216"/>
      <c r="ADC33" s="216"/>
      <c r="ADD33" s="216"/>
      <c r="ADE33" s="216"/>
      <c r="ADF33" s="216"/>
      <c r="ADG33" s="216"/>
      <c r="ADH33" s="216"/>
      <c r="ADI33" s="216"/>
      <c r="ADJ33" s="216"/>
      <c r="ADK33" s="216"/>
      <c r="ADL33" s="216"/>
      <c r="ADM33" s="216"/>
      <c r="ADN33" s="216"/>
      <c r="ADO33" s="216"/>
      <c r="ADP33" s="216"/>
      <c r="ADQ33" s="216"/>
      <c r="ADR33" s="216"/>
      <c r="ADS33" s="216"/>
      <c r="ADT33" s="216"/>
      <c r="ADU33" s="216"/>
      <c r="ADV33" s="216"/>
      <c r="ADW33" s="216"/>
      <c r="ADX33" s="216"/>
      <c r="ADY33" s="216"/>
      <c r="ADZ33" s="216"/>
      <c r="AEA33" s="216"/>
      <c r="AEB33" s="216"/>
      <c r="AEC33" s="216"/>
      <c r="AED33" s="216"/>
      <c r="AEE33" s="216"/>
      <c r="AEF33" s="216"/>
      <c r="AEG33" s="216"/>
      <c r="AEH33" s="216"/>
      <c r="AEI33" s="216"/>
      <c r="AEJ33" s="216"/>
      <c r="AEK33" s="216"/>
      <c r="AEL33" s="216"/>
      <c r="AEM33" s="216"/>
      <c r="AEN33" s="216"/>
      <c r="AEO33" s="216"/>
      <c r="AEP33" s="216"/>
      <c r="AEQ33" s="216"/>
      <c r="AER33" s="216"/>
      <c r="AES33" s="216"/>
      <c r="AET33" s="216"/>
      <c r="AEU33" s="216"/>
      <c r="AEV33" s="216"/>
      <c r="AEW33" s="216"/>
      <c r="AEX33" s="216"/>
      <c r="AEY33" s="216"/>
      <c r="AEZ33" s="216"/>
      <c r="AFA33" s="216"/>
      <c r="AFB33" s="216"/>
      <c r="AFC33" s="216"/>
      <c r="AFD33" s="216"/>
      <c r="AFE33" s="216"/>
      <c r="AFF33" s="216"/>
      <c r="AFG33" s="216"/>
      <c r="AFH33" s="216"/>
      <c r="AFI33" s="216"/>
      <c r="AFJ33" s="216"/>
      <c r="AFK33" s="216"/>
      <c r="AFL33" s="216"/>
      <c r="AFM33" s="216"/>
      <c r="AFN33" s="216"/>
      <c r="AFO33" s="216"/>
      <c r="AFP33" s="216"/>
      <c r="AFQ33" s="216"/>
      <c r="AFR33" s="216"/>
      <c r="AFS33" s="216"/>
      <c r="AFT33" s="216"/>
      <c r="AFU33" s="216"/>
      <c r="AFV33" s="216"/>
      <c r="AFW33" s="216"/>
      <c r="AFX33" s="216"/>
      <c r="AFY33" s="216"/>
      <c r="AFZ33" s="216"/>
      <c r="AGA33" s="216"/>
      <c r="AGB33" s="216"/>
      <c r="AGC33" s="216"/>
      <c r="AGD33" s="216"/>
      <c r="AGE33" s="216"/>
      <c r="AGF33" s="216"/>
      <c r="AGG33" s="216"/>
      <c r="AGH33" s="216"/>
      <c r="AGI33" s="216"/>
      <c r="AGJ33" s="216"/>
      <c r="AGK33" s="216"/>
      <c r="AGL33" s="216"/>
      <c r="AGM33" s="216"/>
      <c r="AGN33" s="216"/>
      <c r="AGO33" s="216"/>
      <c r="AGP33" s="216"/>
      <c r="AGQ33" s="216"/>
      <c r="AGR33" s="216"/>
      <c r="AGS33" s="216"/>
      <c r="AGT33" s="216"/>
      <c r="AGU33" s="216"/>
      <c r="AGV33" s="216"/>
      <c r="AGW33" s="216"/>
      <c r="AGX33" s="216"/>
      <c r="AGY33" s="216"/>
      <c r="AGZ33" s="216"/>
      <c r="AHA33" s="216"/>
      <c r="AHB33" s="216"/>
      <c r="AHC33" s="216"/>
      <c r="AHD33" s="216"/>
      <c r="AHE33" s="216"/>
      <c r="AHF33" s="216"/>
      <c r="AHG33" s="216"/>
      <c r="AHH33" s="216"/>
      <c r="AHI33" s="216"/>
      <c r="AHJ33" s="216"/>
      <c r="AHK33" s="216"/>
      <c r="AHL33" s="216"/>
      <c r="AHM33" s="216"/>
      <c r="AHN33" s="216"/>
      <c r="AHO33" s="216"/>
      <c r="AHP33" s="216"/>
      <c r="AHQ33" s="216"/>
      <c r="AHR33" s="216"/>
      <c r="AHS33" s="216"/>
      <c r="AHT33" s="216"/>
      <c r="AHU33" s="216"/>
      <c r="AHV33" s="216"/>
      <c r="AHW33" s="216"/>
      <c r="AHX33" s="216"/>
      <c r="AHY33" s="216"/>
      <c r="AHZ33" s="216"/>
      <c r="AIA33" s="216"/>
      <c r="AIB33" s="216"/>
      <c r="AIC33" s="216"/>
      <c r="AID33" s="216"/>
      <c r="AIE33" s="216"/>
      <c r="AIF33" s="216"/>
      <c r="AIG33" s="216"/>
      <c r="AIH33" s="216"/>
      <c r="AII33" s="216"/>
      <c r="AIJ33" s="216"/>
      <c r="AIK33" s="216"/>
      <c r="AIL33" s="216"/>
      <c r="AIM33" s="216"/>
      <c r="AIN33" s="216"/>
      <c r="AIO33" s="216"/>
      <c r="AIP33" s="216"/>
      <c r="AIQ33" s="216"/>
      <c r="AIR33" s="216"/>
      <c r="AIS33" s="216"/>
      <c r="AIT33" s="216"/>
      <c r="AIU33" s="216"/>
      <c r="AIV33" s="216"/>
      <c r="AIW33" s="216"/>
      <c r="AIX33" s="216"/>
      <c r="AIY33" s="216"/>
      <c r="AIZ33" s="216"/>
      <c r="AJA33" s="216"/>
      <c r="AJB33" s="216"/>
      <c r="AJC33" s="216"/>
      <c r="AJD33" s="216"/>
      <c r="AJE33" s="216"/>
      <c r="AJF33" s="216"/>
      <c r="AJG33" s="216"/>
      <c r="AJH33" s="216"/>
      <c r="AJI33" s="216"/>
      <c r="AJJ33" s="216"/>
      <c r="AJK33" s="216"/>
      <c r="AJL33" s="216"/>
      <c r="AJM33" s="216"/>
      <c r="AJN33" s="216"/>
      <c r="AJO33" s="216"/>
      <c r="AJP33" s="216"/>
      <c r="AJQ33" s="216"/>
      <c r="AJR33" s="216"/>
      <c r="AJS33" s="216"/>
      <c r="AJT33" s="216"/>
      <c r="AJU33" s="216"/>
      <c r="AJV33" s="216"/>
      <c r="AJW33" s="216"/>
      <c r="AJX33" s="216"/>
      <c r="AJY33" s="216"/>
      <c r="AJZ33" s="216"/>
      <c r="AKA33" s="216"/>
      <c r="AKB33" s="216"/>
      <c r="AKC33" s="216"/>
      <c r="AKD33" s="216"/>
      <c r="AKE33" s="216"/>
      <c r="AKF33" s="216"/>
      <c r="AKG33" s="216"/>
      <c r="AKH33" s="216"/>
      <c r="AKI33" s="216"/>
      <c r="AKJ33" s="216"/>
      <c r="AKK33" s="216"/>
      <c r="AKL33" s="216"/>
      <c r="AKM33" s="216"/>
      <c r="AKN33" s="216"/>
      <c r="AKO33" s="216"/>
      <c r="AKP33" s="216"/>
      <c r="AKQ33" s="216"/>
      <c r="AKR33" s="216"/>
      <c r="AKS33" s="216"/>
      <c r="AKT33" s="216"/>
      <c r="AKU33" s="216"/>
      <c r="AKV33" s="216"/>
      <c r="AKW33" s="216"/>
      <c r="AKX33" s="216"/>
      <c r="AKY33" s="216"/>
      <c r="AKZ33" s="216"/>
      <c r="ALA33" s="216"/>
      <c r="ALB33" s="216"/>
      <c r="ALC33" s="216"/>
      <c r="ALD33" s="216"/>
      <c r="ALE33" s="216"/>
      <c r="ALF33" s="216"/>
      <c r="ALG33" s="216"/>
      <c r="ALH33" s="216"/>
      <c r="ALI33" s="216"/>
      <c r="ALJ33" s="216"/>
      <c r="ALK33" s="216"/>
      <c r="ALL33" s="216"/>
      <c r="ALM33" s="216"/>
      <c r="ALN33" s="216"/>
      <c r="ALO33" s="216"/>
      <c r="ALP33" s="216"/>
      <c r="ALQ33" s="216"/>
      <c r="ALR33" s="216"/>
      <c r="ALS33" s="216"/>
      <c r="ALT33" s="216"/>
      <c r="ALU33" s="216"/>
      <c r="ALV33" s="216"/>
      <c r="ALW33" s="216"/>
      <c r="ALX33" s="216"/>
      <c r="ALY33" s="216"/>
      <c r="ALZ33" s="216"/>
      <c r="AMA33" s="216"/>
      <c r="AMB33" s="216"/>
      <c r="AMC33" s="216"/>
      <c r="AMD33" s="216"/>
      <c r="AME33" s="216"/>
      <c r="AMF33" s="216"/>
      <c r="AMG33" s="216"/>
      <c r="AMH33" s="216"/>
      <c r="AMI33" s="216"/>
      <c r="AMJ33" s="216"/>
      <c r="AMK33" s="216"/>
      <c r="AML33" s="216"/>
      <c r="AMM33" s="216"/>
      <c r="AMN33" s="216"/>
      <c r="AMO33" s="216"/>
      <c r="AMP33" s="216"/>
      <c r="AMQ33" s="216"/>
      <c r="AMR33" s="216"/>
      <c r="AMS33" s="216"/>
      <c r="AMT33" s="216"/>
      <c r="AMU33" s="216"/>
      <c r="AMV33" s="216"/>
      <c r="AMW33" s="216"/>
      <c r="AMX33" s="216"/>
      <c r="AMY33" s="216"/>
      <c r="AMZ33" s="216"/>
      <c r="ANA33" s="216"/>
      <c r="ANB33" s="216"/>
      <c r="ANC33" s="216"/>
      <c r="AND33" s="216"/>
      <c r="ANE33" s="216"/>
      <c r="ANF33" s="216"/>
      <c r="ANG33" s="216"/>
      <c r="ANH33" s="216"/>
      <c r="ANI33" s="216"/>
      <c r="ANJ33" s="216"/>
      <c r="ANK33" s="216"/>
      <c r="ANL33" s="216"/>
      <c r="ANM33" s="216"/>
      <c r="ANN33" s="216"/>
      <c r="ANO33" s="216"/>
      <c r="ANP33" s="216"/>
      <c r="ANQ33" s="216"/>
      <c r="ANR33" s="216"/>
      <c r="ANS33" s="216"/>
      <c r="ANT33" s="216"/>
      <c r="ANU33" s="216"/>
      <c r="ANV33" s="216"/>
      <c r="ANW33" s="216"/>
      <c r="ANX33" s="216"/>
      <c r="ANY33" s="216"/>
      <c r="ANZ33" s="216"/>
      <c r="AOA33" s="216"/>
      <c r="AOB33" s="216"/>
      <c r="AOC33" s="216"/>
      <c r="AOD33" s="216"/>
      <c r="AOE33" s="216"/>
      <c r="AOF33" s="216"/>
      <c r="AOG33" s="216"/>
      <c r="AOH33" s="216"/>
      <c r="AOI33" s="216"/>
      <c r="AOJ33" s="216"/>
      <c r="AOK33" s="216"/>
      <c r="AOL33" s="216"/>
      <c r="AOM33" s="216"/>
      <c r="AON33" s="216"/>
      <c r="AOO33" s="216"/>
      <c r="AOP33" s="216"/>
      <c r="AOQ33" s="216"/>
      <c r="AOR33" s="216"/>
      <c r="AOS33" s="216"/>
      <c r="AOT33" s="216"/>
      <c r="AOU33" s="216"/>
      <c r="AOV33" s="216"/>
      <c r="AOW33" s="216"/>
      <c r="AOX33" s="216"/>
      <c r="AOY33" s="216"/>
      <c r="AOZ33" s="216"/>
      <c r="APA33" s="216"/>
      <c r="APB33" s="216"/>
      <c r="APC33" s="216"/>
      <c r="APD33" s="216"/>
      <c r="APE33" s="216"/>
      <c r="APF33" s="216"/>
      <c r="APG33" s="216"/>
      <c r="APH33" s="216"/>
      <c r="API33" s="216"/>
      <c r="APJ33" s="216"/>
      <c r="APK33" s="216"/>
      <c r="APL33" s="216"/>
      <c r="APM33" s="216"/>
      <c r="APN33" s="216"/>
      <c r="APO33" s="216"/>
      <c r="APP33" s="216"/>
      <c r="APQ33" s="216"/>
      <c r="APR33" s="216"/>
      <c r="APS33" s="216"/>
      <c r="APT33" s="216"/>
      <c r="APU33" s="216"/>
      <c r="APV33" s="216"/>
      <c r="APW33" s="216"/>
      <c r="APX33" s="216"/>
      <c r="APY33" s="216"/>
      <c r="APZ33" s="216"/>
      <c r="AQA33" s="216"/>
      <c r="AQB33" s="216"/>
      <c r="AQC33" s="216"/>
      <c r="AQD33" s="216"/>
      <c r="AQE33" s="216"/>
      <c r="AQF33" s="216"/>
      <c r="AQG33" s="216"/>
      <c r="AQH33" s="216"/>
      <c r="AQI33" s="216"/>
      <c r="AQJ33" s="216"/>
      <c r="AQK33" s="216"/>
      <c r="AQL33" s="216"/>
      <c r="AQM33" s="216"/>
      <c r="AQN33" s="216"/>
      <c r="AQO33" s="216"/>
      <c r="AQP33" s="216"/>
      <c r="AQQ33" s="216"/>
      <c r="AQR33" s="216"/>
      <c r="AQS33" s="216"/>
      <c r="AQT33" s="216"/>
      <c r="AQU33" s="216"/>
      <c r="AQV33" s="216"/>
      <c r="AQW33" s="216"/>
      <c r="AQX33" s="216"/>
      <c r="AQY33" s="216"/>
      <c r="AQZ33" s="216"/>
      <c r="ARA33" s="216"/>
      <c r="ARB33" s="216"/>
      <c r="ARC33" s="216"/>
      <c r="ARD33" s="216"/>
      <c r="ARE33" s="216"/>
      <c r="ARF33" s="216"/>
      <c r="ARG33" s="216"/>
      <c r="ARH33" s="216"/>
      <c r="ARI33" s="216"/>
      <c r="ARJ33" s="216"/>
      <c r="ARK33" s="216"/>
      <c r="ARL33" s="216"/>
      <c r="ARM33" s="216"/>
      <c r="ARN33" s="216"/>
      <c r="ARO33" s="216"/>
      <c r="ARP33" s="216"/>
      <c r="ARQ33" s="216"/>
      <c r="ARR33" s="216"/>
      <c r="ARS33" s="216"/>
      <c r="ART33" s="216"/>
      <c r="ARU33" s="216"/>
      <c r="ARV33" s="216"/>
      <c r="ARW33" s="216"/>
      <c r="ARX33" s="216"/>
      <c r="ARY33" s="216"/>
      <c r="ARZ33" s="216"/>
      <c r="ASA33" s="216"/>
      <c r="ASB33" s="216"/>
      <c r="ASC33" s="216"/>
      <c r="ASD33" s="216"/>
      <c r="ASE33" s="216"/>
      <c r="ASF33" s="216"/>
      <c r="ASG33" s="216"/>
      <c r="ASH33" s="216"/>
      <c r="ASI33" s="216"/>
      <c r="ASJ33" s="216"/>
      <c r="ASK33" s="216"/>
      <c r="ASL33" s="216"/>
      <c r="ASM33" s="216"/>
      <c r="ASN33" s="216"/>
      <c r="ASO33" s="216"/>
      <c r="ASP33" s="216"/>
      <c r="ASQ33" s="216"/>
      <c r="ASR33" s="216"/>
      <c r="ASS33" s="216"/>
      <c r="AST33" s="216"/>
      <c r="ASU33" s="216"/>
      <c r="ASV33" s="216"/>
      <c r="ASW33" s="216"/>
      <c r="ASX33" s="216"/>
      <c r="ASY33" s="216"/>
      <c r="ASZ33" s="216"/>
      <c r="ATA33" s="216"/>
      <c r="ATB33" s="216"/>
      <c r="ATC33" s="216"/>
      <c r="ATD33" s="216"/>
      <c r="ATE33" s="216"/>
      <c r="ATF33" s="216"/>
      <c r="ATG33" s="216"/>
      <c r="ATH33" s="216"/>
      <c r="ATI33" s="216"/>
      <c r="ATJ33" s="216"/>
      <c r="ATK33" s="216"/>
      <c r="ATL33" s="216"/>
      <c r="ATM33" s="216"/>
      <c r="ATN33" s="216"/>
      <c r="ATO33" s="216"/>
      <c r="ATP33" s="216"/>
      <c r="ATQ33" s="216"/>
      <c r="ATR33" s="216"/>
      <c r="ATS33" s="216"/>
      <c r="ATT33" s="216"/>
      <c r="ATU33" s="216"/>
      <c r="ATV33" s="216"/>
      <c r="ATW33" s="216"/>
      <c r="ATX33" s="216"/>
      <c r="ATY33" s="216"/>
      <c r="ATZ33" s="216"/>
      <c r="AUA33" s="216"/>
      <c r="AUB33" s="216"/>
      <c r="AUC33" s="216"/>
      <c r="AUD33" s="216"/>
      <c r="AUE33" s="216"/>
      <c r="AUF33" s="216"/>
      <c r="AUG33" s="216"/>
      <c r="AUH33" s="216"/>
      <c r="AUI33" s="216"/>
      <c r="AUJ33" s="216"/>
      <c r="AUK33" s="216"/>
      <c r="AUL33" s="216"/>
      <c r="AUM33" s="216"/>
      <c r="AUN33" s="216"/>
      <c r="AUO33" s="216"/>
      <c r="AUP33" s="216"/>
      <c r="AUQ33" s="216"/>
      <c r="AUR33" s="216"/>
      <c r="AUS33" s="216"/>
      <c r="AUT33" s="216"/>
      <c r="AUU33" s="216"/>
      <c r="AUV33" s="216"/>
      <c r="AUW33" s="216"/>
      <c r="AUX33" s="216"/>
      <c r="AUY33" s="216"/>
      <c r="AUZ33" s="216"/>
      <c r="AVA33" s="216"/>
      <c r="AVB33" s="216"/>
      <c r="AVC33" s="216"/>
      <c r="AVD33" s="216"/>
      <c r="AVE33" s="216"/>
      <c r="AVF33" s="216"/>
      <c r="AVG33" s="216"/>
      <c r="AVH33" s="216"/>
      <c r="AVI33" s="216"/>
      <c r="AVJ33" s="216"/>
      <c r="AVK33" s="216"/>
      <c r="AVL33" s="216"/>
      <c r="AVM33" s="216"/>
      <c r="AVN33" s="216"/>
      <c r="AVO33" s="216"/>
      <c r="AVP33" s="216"/>
      <c r="AVQ33" s="216"/>
      <c r="AVR33" s="216"/>
      <c r="AVS33" s="216"/>
      <c r="AVT33" s="216"/>
      <c r="AVU33" s="216"/>
      <c r="AVV33" s="216"/>
      <c r="AVW33" s="216"/>
      <c r="AVX33" s="216"/>
      <c r="AVY33" s="216"/>
      <c r="AVZ33" s="216"/>
      <c r="AWA33" s="216"/>
      <c r="AWB33" s="216"/>
      <c r="AWC33" s="216"/>
      <c r="AWD33" s="216"/>
      <c r="AWE33" s="216"/>
      <c r="AWF33" s="216"/>
      <c r="AWG33" s="216"/>
      <c r="AWH33" s="216"/>
      <c r="AWI33" s="216"/>
      <c r="AWJ33" s="216"/>
      <c r="AWK33" s="216"/>
      <c r="AWL33" s="216"/>
      <c r="AWM33" s="216"/>
      <c r="AWN33" s="216"/>
      <c r="AWO33" s="216"/>
      <c r="AWP33" s="216"/>
      <c r="AWQ33" s="216"/>
      <c r="AWR33" s="216"/>
      <c r="AWS33" s="216"/>
      <c r="AWT33" s="216"/>
      <c r="AWU33" s="216"/>
      <c r="AWV33" s="216"/>
      <c r="AWW33" s="216"/>
      <c r="AWX33" s="216"/>
      <c r="AWY33" s="216"/>
      <c r="AWZ33" s="216"/>
      <c r="AXA33" s="216"/>
      <c r="AXB33" s="216"/>
      <c r="AXC33" s="216"/>
      <c r="AXD33" s="216"/>
      <c r="AXE33" s="216"/>
      <c r="AXF33" s="216"/>
      <c r="AXG33" s="216"/>
      <c r="AXH33" s="216"/>
      <c r="AXI33" s="216"/>
      <c r="AXJ33" s="216"/>
      <c r="AXK33" s="216"/>
      <c r="AXL33" s="216"/>
      <c r="AXM33" s="216"/>
      <c r="AXN33" s="216"/>
      <c r="AXO33" s="216"/>
      <c r="AXP33" s="216"/>
      <c r="AXQ33" s="216"/>
      <c r="AXR33" s="216"/>
      <c r="AXS33" s="216"/>
      <c r="AXT33" s="216"/>
      <c r="AXU33" s="216"/>
      <c r="AXV33" s="216"/>
      <c r="AXW33" s="216"/>
      <c r="AXX33" s="216"/>
      <c r="AXY33" s="216"/>
      <c r="AXZ33" s="216"/>
      <c r="AYA33" s="216"/>
      <c r="AYB33" s="216"/>
      <c r="AYC33" s="216"/>
      <c r="AYD33" s="216"/>
      <c r="AYE33" s="216"/>
      <c r="AYF33" s="216"/>
      <c r="AYG33" s="216"/>
      <c r="AYH33" s="216"/>
      <c r="AYI33" s="216"/>
      <c r="AYJ33" s="216"/>
      <c r="AYK33" s="216"/>
      <c r="AYL33" s="216"/>
      <c r="AYM33" s="216"/>
      <c r="AYN33" s="216"/>
      <c r="AYO33" s="216"/>
      <c r="AYP33" s="216"/>
      <c r="AYQ33" s="216"/>
      <c r="AYR33" s="216"/>
      <c r="AYS33" s="216"/>
      <c r="AYT33" s="216"/>
      <c r="AYU33" s="216"/>
      <c r="AYV33" s="216"/>
      <c r="AYW33" s="216"/>
      <c r="AYX33" s="216"/>
      <c r="AYY33" s="216"/>
      <c r="AYZ33" s="216"/>
      <c r="AZA33" s="216"/>
      <c r="AZB33" s="216"/>
      <c r="AZC33" s="216"/>
      <c r="AZD33" s="216"/>
      <c r="AZE33" s="216"/>
      <c r="AZF33" s="216"/>
      <c r="AZG33" s="216"/>
      <c r="AZH33" s="216"/>
      <c r="AZI33" s="216"/>
      <c r="AZJ33" s="216"/>
      <c r="AZK33" s="216"/>
      <c r="AZL33" s="216"/>
      <c r="AZM33" s="216"/>
      <c r="AZN33" s="216"/>
      <c r="AZO33" s="216"/>
      <c r="AZP33" s="216"/>
      <c r="AZQ33" s="216"/>
      <c r="AZR33" s="216"/>
      <c r="AZS33" s="216"/>
      <c r="AZT33" s="216"/>
      <c r="AZU33" s="216"/>
      <c r="AZV33" s="216"/>
      <c r="AZW33" s="216"/>
      <c r="AZX33" s="216"/>
      <c r="AZY33" s="216"/>
      <c r="AZZ33" s="216"/>
      <c r="BAA33" s="216"/>
      <c r="BAB33" s="216"/>
      <c r="BAC33" s="216"/>
      <c r="BAD33" s="216"/>
      <c r="BAE33" s="216"/>
      <c r="BAF33" s="216"/>
      <c r="BAG33" s="216"/>
      <c r="BAH33" s="216"/>
      <c r="BAI33" s="216"/>
      <c r="BAJ33" s="216"/>
      <c r="BAK33" s="216"/>
      <c r="BAL33" s="216"/>
      <c r="BAM33" s="216"/>
      <c r="BAN33" s="216"/>
      <c r="BAO33" s="216"/>
      <c r="BAP33" s="216"/>
      <c r="BAQ33" s="216"/>
      <c r="BAR33" s="216"/>
      <c r="BAS33" s="216"/>
      <c r="BAT33" s="216"/>
      <c r="BAU33" s="216"/>
      <c r="BAV33" s="216"/>
      <c r="BAW33" s="216"/>
      <c r="BAX33" s="216"/>
      <c r="BAY33" s="216"/>
      <c r="BAZ33" s="216"/>
      <c r="BBA33" s="216"/>
      <c r="BBB33" s="216"/>
      <c r="BBC33" s="216"/>
      <c r="BBD33" s="216"/>
      <c r="BBE33" s="216"/>
      <c r="BBF33" s="216"/>
      <c r="BBG33" s="216"/>
      <c r="BBH33" s="216"/>
      <c r="BBI33" s="216"/>
      <c r="BBJ33" s="216"/>
      <c r="BBK33" s="216"/>
      <c r="BBL33" s="216"/>
      <c r="BBM33" s="216"/>
      <c r="BBN33" s="216"/>
      <c r="BBO33" s="216"/>
      <c r="BBP33" s="216"/>
      <c r="BBQ33" s="216"/>
      <c r="BBR33" s="216"/>
      <c r="BBS33" s="216"/>
      <c r="BBT33" s="216"/>
      <c r="BBU33" s="216"/>
      <c r="BBV33" s="216"/>
      <c r="BBW33" s="216"/>
      <c r="BBX33" s="216"/>
      <c r="BBY33" s="216"/>
      <c r="BBZ33" s="216"/>
      <c r="BCA33" s="216"/>
      <c r="BCB33" s="216"/>
      <c r="BCC33" s="216"/>
      <c r="BCD33" s="216"/>
      <c r="BCE33" s="216"/>
      <c r="BCF33" s="216"/>
      <c r="BCG33" s="216"/>
      <c r="BCH33" s="216"/>
      <c r="BCI33" s="216"/>
      <c r="BCJ33" s="216"/>
      <c r="BCK33" s="216"/>
      <c r="BCL33" s="216"/>
      <c r="BCM33" s="216"/>
      <c r="BCN33" s="216"/>
      <c r="BCO33" s="216"/>
      <c r="BCP33" s="216"/>
      <c r="BCQ33" s="216"/>
      <c r="BCR33" s="216"/>
      <c r="BCS33" s="216"/>
      <c r="BCT33" s="216"/>
      <c r="BCU33" s="216"/>
      <c r="BCV33" s="216"/>
      <c r="BCW33" s="216"/>
      <c r="BCX33" s="216"/>
      <c r="BCY33" s="216"/>
      <c r="BCZ33" s="216"/>
      <c r="BDA33" s="216"/>
      <c r="BDB33" s="216"/>
      <c r="BDC33" s="216"/>
      <c r="BDD33" s="216"/>
      <c r="BDE33" s="216"/>
      <c r="BDF33" s="216"/>
      <c r="BDG33" s="216"/>
      <c r="BDH33" s="216"/>
      <c r="BDI33" s="216"/>
      <c r="BDJ33" s="216"/>
      <c r="BDK33" s="216"/>
      <c r="BDL33" s="216"/>
      <c r="BDM33" s="216"/>
      <c r="BDN33" s="216"/>
      <c r="BDO33" s="216"/>
      <c r="BDP33" s="216"/>
      <c r="BDQ33" s="216"/>
      <c r="BDR33" s="216"/>
      <c r="BDS33" s="216"/>
      <c r="BDT33" s="216"/>
      <c r="BDU33" s="216"/>
      <c r="BDV33" s="216"/>
      <c r="BDW33" s="216"/>
      <c r="BDX33" s="216"/>
      <c r="BDY33" s="216"/>
      <c r="BDZ33" s="216"/>
      <c r="BEA33" s="216"/>
      <c r="BEB33" s="216"/>
      <c r="BEC33" s="216"/>
      <c r="BED33" s="216"/>
      <c r="BEE33" s="216"/>
      <c r="BEF33" s="216"/>
      <c r="BEG33" s="216"/>
      <c r="BEH33" s="216"/>
      <c r="BEI33" s="216"/>
      <c r="BEJ33" s="216"/>
      <c r="BEK33" s="216"/>
      <c r="BEL33" s="216"/>
      <c r="BEM33" s="216"/>
      <c r="BEN33" s="216"/>
      <c r="BEO33" s="216"/>
      <c r="BEP33" s="216"/>
      <c r="BEQ33" s="216"/>
      <c r="BER33" s="216"/>
      <c r="BES33" s="216"/>
      <c r="BET33" s="216"/>
      <c r="BEU33" s="216"/>
      <c r="BEV33" s="216"/>
      <c r="BEW33" s="216"/>
      <c r="BEX33" s="216"/>
      <c r="BEY33" s="216"/>
      <c r="BEZ33" s="216"/>
      <c r="BFA33" s="216"/>
      <c r="BFB33" s="216"/>
      <c r="BFC33" s="216"/>
      <c r="BFD33" s="216"/>
      <c r="BFE33" s="216"/>
      <c r="BFF33" s="216"/>
      <c r="BFG33" s="216"/>
      <c r="BFH33" s="216"/>
      <c r="BFI33" s="216"/>
      <c r="BFJ33" s="216"/>
      <c r="BFK33" s="216"/>
      <c r="BFL33" s="216"/>
      <c r="BFM33" s="216"/>
      <c r="BFN33" s="216"/>
      <c r="BFO33" s="216"/>
      <c r="BFP33" s="216"/>
      <c r="BFQ33" s="216"/>
      <c r="BFR33" s="216"/>
      <c r="BFS33" s="216"/>
      <c r="BFT33" s="216"/>
      <c r="BFU33" s="216"/>
      <c r="BFV33" s="216"/>
      <c r="BFW33" s="216"/>
      <c r="BFX33" s="216"/>
      <c r="BFY33" s="216"/>
      <c r="BFZ33" s="216"/>
      <c r="BGA33" s="216"/>
      <c r="BGB33" s="216"/>
      <c r="BGC33" s="216"/>
      <c r="BGD33" s="216"/>
      <c r="BGE33" s="216"/>
      <c r="BGF33" s="216"/>
      <c r="BGG33" s="216"/>
      <c r="BGH33" s="216"/>
      <c r="BGI33" s="216"/>
      <c r="BGJ33" s="216"/>
      <c r="BGK33" s="216"/>
      <c r="BGL33" s="216"/>
      <c r="BGM33" s="216"/>
      <c r="BGN33" s="216"/>
      <c r="BGO33" s="216"/>
      <c r="BGP33" s="216"/>
      <c r="BGQ33" s="216"/>
      <c r="BGR33" s="216"/>
      <c r="BGS33" s="216"/>
      <c r="BGT33" s="216"/>
      <c r="BGU33" s="216"/>
      <c r="BGV33" s="216"/>
      <c r="BGW33" s="216"/>
      <c r="BGX33" s="216"/>
      <c r="BGY33" s="216"/>
      <c r="BGZ33" s="216"/>
      <c r="BHA33" s="216"/>
      <c r="BHB33" s="216"/>
      <c r="BHC33" s="216"/>
      <c r="BHD33" s="216"/>
      <c r="BHE33" s="216"/>
      <c r="BHF33" s="216"/>
      <c r="BHG33" s="216"/>
      <c r="BHH33" s="216"/>
      <c r="BHI33" s="216"/>
      <c r="BHJ33" s="216"/>
      <c r="BHK33" s="216"/>
      <c r="BHL33" s="216"/>
      <c r="BHM33" s="216"/>
      <c r="BHN33" s="216"/>
      <c r="BHO33" s="216"/>
      <c r="BHP33" s="216"/>
      <c r="BHQ33" s="216"/>
      <c r="BHR33" s="216"/>
      <c r="BHS33" s="216"/>
      <c r="BHT33" s="216"/>
      <c r="BHU33" s="216"/>
      <c r="BHV33" s="216"/>
      <c r="BHW33" s="216"/>
      <c r="BHX33" s="216"/>
      <c r="BHY33" s="216"/>
      <c r="BHZ33" s="216"/>
      <c r="BIA33" s="216"/>
      <c r="BIB33" s="216"/>
      <c r="BIC33" s="216"/>
      <c r="BID33" s="216"/>
      <c r="BIE33" s="216"/>
      <c r="BIF33" s="216"/>
      <c r="BIG33" s="216"/>
      <c r="BIH33" s="216"/>
      <c r="BII33" s="216"/>
      <c r="BIJ33" s="216"/>
      <c r="BIK33" s="216"/>
      <c r="BIL33" s="216"/>
      <c r="BIM33" s="216"/>
      <c r="BIN33" s="216"/>
      <c r="BIO33" s="216"/>
      <c r="BIP33" s="216"/>
      <c r="BIQ33" s="216"/>
      <c r="BIR33" s="216"/>
      <c r="BIS33" s="216"/>
      <c r="BIT33" s="216"/>
      <c r="BIU33" s="216"/>
      <c r="BIV33" s="216"/>
      <c r="BIW33" s="216"/>
      <c r="BIX33" s="216"/>
      <c r="BIY33" s="216"/>
      <c r="BIZ33" s="216"/>
      <c r="BJA33" s="216"/>
      <c r="BJB33" s="216"/>
      <c r="BJC33" s="216"/>
      <c r="BJD33" s="216"/>
      <c r="BJE33" s="216"/>
      <c r="BJF33" s="216"/>
      <c r="BJG33" s="216"/>
      <c r="BJH33" s="216"/>
      <c r="BJI33" s="216"/>
      <c r="BJJ33" s="216"/>
      <c r="BJK33" s="216"/>
      <c r="BJL33" s="216"/>
      <c r="BJM33" s="216"/>
      <c r="BJN33" s="216"/>
      <c r="BJO33" s="216"/>
      <c r="BJP33" s="216"/>
      <c r="BJQ33" s="216"/>
      <c r="BJR33" s="216"/>
      <c r="BJS33" s="216"/>
      <c r="BJT33" s="216"/>
      <c r="BJU33" s="216"/>
      <c r="BJV33" s="216"/>
      <c r="BJW33" s="216"/>
      <c r="BJX33" s="216"/>
      <c r="BJY33" s="216"/>
      <c r="BJZ33" s="216"/>
      <c r="BKA33" s="216"/>
      <c r="BKB33" s="216"/>
      <c r="BKC33" s="216"/>
      <c r="BKD33" s="216"/>
      <c r="BKE33" s="216"/>
      <c r="BKF33" s="216"/>
      <c r="BKG33" s="216"/>
      <c r="BKH33" s="216"/>
      <c r="BKI33" s="216"/>
      <c r="BKJ33" s="216"/>
      <c r="BKK33" s="216"/>
      <c r="BKL33" s="216"/>
      <c r="BKM33" s="216"/>
      <c r="BKN33" s="216"/>
      <c r="BKO33" s="216"/>
      <c r="BKP33" s="216"/>
      <c r="BKQ33" s="216"/>
      <c r="BKR33" s="216"/>
      <c r="BKS33" s="216"/>
      <c r="BKT33" s="216"/>
      <c r="BKU33" s="216"/>
      <c r="BKV33" s="216"/>
      <c r="BKW33" s="216"/>
      <c r="BKX33" s="216"/>
      <c r="BKY33" s="216"/>
      <c r="BKZ33" s="216"/>
      <c r="BLA33" s="216"/>
      <c r="BLB33" s="216"/>
      <c r="BLC33" s="216"/>
      <c r="BLD33" s="216"/>
      <c r="BLE33" s="216"/>
      <c r="BLF33" s="216"/>
      <c r="BLG33" s="216"/>
      <c r="BLH33" s="216"/>
      <c r="BLI33" s="216"/>
      <c r="BLJ33" s="216"/>
      <c r="BLK33" s="216"/>
      <c r="BLL33" s="216"/>
      <c r="BLM33" s="216"/>
      <c r="BLN33" s="216"/>
      <c r="BLO33" s="216"/>
      <c r="BLP33" s="216"/>
      <c r="BLQ33" s="216"/>
      <c r="BLR33" s="216"/>
      <c r="BLS33" s="216"/>
      <c r="BLT33" s="216"/>
      <c r="BLU33" s="216"/>
      <c r="BLV33" s="216"/>
      <c r="BLW33" s="216"/>
      <c r="BLX33" s="216"/>
      <c r="BLY33" s="216"/>
      <c r="BLZ33" s="216"/>
      <c r="BMA33" s="216"/>
      <c r="BMB33" s="216"/>
      <c r="BMC33" s="216"/>
      <c r="BMD33" s="216"/>
      <c r="BME33" s="216"/>
      <c r="BMF33" s="216"/>
      <c r="BMG33" s="216"/>
      <c r="BMH33" s="216"/>
      <c r="BMI33" s="216"/>
      <c r="BMJ33" s="216"/>
      <c r="BMK33" s="216"/>
      <c r="BML33" s="216"/>
      <c r="BMM33" s="216"/>
      <c r="BMN33" s="216"/>
      <c r="BMO33" s="216"/>
      <c r="BMP33" s="216"/>
      <c r="BMQ33" s="216"/>
      <c r="BMR33" s="216"/>
      <c r="BMS33" s="216"/>
      <c r="BMT33" s="216"/>
      <c r="BMU33" s="216"/>
      <c r="BMV33" s="216"/>
      <c r="BMW33" s="216"/>
      <c r="BMX33" s="216"/>
      <c r="BMY33" s="216"/>
      <c r="BMZ33" s="216"/>
      <c r="BNA33" s="216"/>
      <c r="BNB33" s="216"/>
      <c r="BNC33" s="216"/>
      <c r="BND33" s="216"/>
      <c r="BNE33" s="216"/>
      <c r="BNF33" s="216"/>
      <c r="BNG33" s="216"/>
      <c r="BNH33" s="216"/>
      <c r="BNI33" s="216"/>
      <c r="BNJ33" s="216"/>
      <c r="BNK33" s="216"/>
      <c r="BNL33" s="216"/>
      <c r="BNM33" s="216"/>
      <c r="BNN33" s="216"/>
      <c r="BNO33" s="216"/>
      <c r="BNP33" s="216"/>
      <c r="BNQ33" s="216"/>
      <c r="BNR33" s="216"/>
      <c r="BNS33" s="216"/>
      <c r="BNT33" s="216"/>
      <c r="BNU33" s="216"/>
      <c r="BNV33" s="216"/>
      <c r="BNW33" s="216"/>
      <c r="BNX33" s="216"/>
      <c r="BNY33" s="216"/>
      <c r="BNZ33" s="216"/>
      <c r="BOA33" s="216"/>
      <c r="BOB33" s="216"/>
      <c r="BOC33" s="216"/>
      <c r="BOD33" s="216"/>
      <c r="BOE33" s="216"/>
      <c r="BOF33" s="216"/>
      <c r="BOG33" s="216"/>
      <c r="BOH33" s="216"/>
      <c r="BOI33" s="216"/>
      <c r="BOJ33" s="216"/>
      <c r="BOK33" s="216"/>
      <c r="BOL33" s="216"/>
      <c r="BOM33" s="216"/>
      <c r="BON33" s="216"/>
      <c r="BOO33" s="216"/>
      <c r="BOP33" s="216"/>
      <c r="BOQ33" s="216"/>
      <c r="BOR33" s="216"/>
      <c r="BOS33" s="216"/>
      <c r="BOT33" s="216"/>
      <c r="BOU33" s="216"/>
      <c r="BOV33" s="216"/>
      <c r="BOW33" s="216"/>
      <c r="BOX33" s="216"/>
      <c r="BOY33" s="216"/>
      <c r="BOZ33" s="216"/>
      <c r="BPA33" s="216"/>
      <c r="BPB33" s="216"/>
      <c r="BPC33" s="216"/>
      <c r="BPD33" s="216"/>
      <c r="BPE33" s="216"/>
      <c r="BPF33" s="216"/>
      <c r="BPG33" s="216"/>
      <c r="BPH33" s="216"/>
      <c r="BPI33" s="216"/>
      <c r="BPJ33" s="216"/>
      <c r="BPK33" s="216"/>
      <c r="BPL33" s="216"/>
      <c r="BPM33" s="216"/>
      <c r="BPN33" s="216"/>
      <c r="BPO33" s="216"/>
      <c r="BPP33" s="216"/>
      <c r="BPQ33" s="216"/>
      <c r="BPR33" s="216"/>
      <c r="BPS33" s="216"/>
      <c r="BPT33" s="216"/>
      <c r="BPU33" s="216"/>
      <c r="BPV33" s="216"/>
      <c r="BPW33" s="216"/>
      <c r="BPX33" s="216"/>
      <c r="BPY33" s="216"/>
      <c r="BPZ33" s="216"/>
      <c r="BQA33" s="216"/>
      <c r="BQB33" s="216"/>
      <c r="BQC33" s="216"/>
      <c r="BQD33" s="216"/>
      <c r="BQE33" s="216"/>
      <c r="BQF33" s="216"/>
      <c r="BQG33" s="216"/>
      <c r="BQH33" s="216"/>
      <c r="BQI33" s="216"/>
      <c r="BQJ33" s="216"/>
      <c r="BQK33" s="216"/>
      <c r="BQL33" s="216"/>
      <c r="BQM33" s="216"/>
      <c r="BQN33" s="216"/>
      <c r="BQO33" s="216"/>
      <c r="BQP33" s="216"/>
      <c r="BQQ33" s="216"/>
      <c r="BQR33" s="216"/>
      <c r="BQS33" s="216"/>
      <c r="BQT33" s="216"/>
      <c r="BQU33" s="216"/>
      <c r="BQV33" s="216"/>
      <c r="BQW33" s="216"/>
      <c r="BQX33" s="216"/>
      <c r="BQY33" s="216"/>
      <c r="BQZ33" s="216"/>
      <c r="BRA33" s="216"/>
      <c r="BRB33" s="216"/>
      <c r="BRC33" s="216"/>
      <c r="BRD33" s="216"/>
      <c r="BRE33" s="216"/>
      <c r="BRF33" s="216"/>
      <c r="BRG33" s="216"/>
      <c r="BRH33" s="216"/>
      <c r="BRI33" s="216"/>
      <c r="BRJ33" s="216"/>
      <c r="BRK33" s="216"/>
      <c r="BRL33" s="216"/>
      <c r="BRM33" s="216"/>
      <c r="BRN33" s="216"/>
      <c r="BRO33" s="216"/>
      <c r="BRP33" s="216"/>
      <c r="BRQ33" s="216"/>
      <c r="BRR33" s="216"/>
      <c r="BRS33" s="216"/>
      <c r="BRT33" s="216"/>
      <c r="BRU33" s="216"/>
      <c r="BRV33" s="216"/>
      <c r="BRW33" s="216"/>
      <c r="BRX33" s="216"/>
      <c r="BRY33" s="216"/>
      <c r="BRZ33" s="216"/>
      <c r="BSA33" s="216"/>
      <c r="BSB33" s="216"/>
      <c r="BSC33" s="216"/>
      <c r="BSD33" s="216"/>
      <c r="BSE33" s="216"/>
      <c r="BSF33" s="216"/>
      <c r="BSG33" s="216"/>
      <c r="BSH33" s="216"/>
      <c r="BSI33" s="216"/>
      <c r="BSJ33" s="216"/>
      <c r="BSK33" s="216"/>
      <c r="BSL33" s="216"/>
      <c r="BSM33" s="216"/>
      <c r="BSN33" s="216"/>
      <c r="BSO33" s="216"/>
      <c r="BSP33" s="216"/>
      <c r="BSQ33" s="216"/>
      <c r="BSR33" s="216"/>
      <c r="BSS33" s="216"/>
      <c r="BST33" s="216"/>
      <c r="BSU33" s="216"/>
      <c r="BSV33" s="216"/>
      <c r="BSW33" s="216"/>
      <c r="BSX33" s="216"/>
      <c r="BSY33" s="216"/>
      <c r="BSZ33" s="216"/>
      <c r="BTA33" s="216"/>
      <c r="BTB33" s="216"/>
      <c r="BTC33" s="216"/>
      <c r="BTD33" s="216"/>
      <c r="BTE33" s="216"/>
      <c r="BTF33" s="216"/>
      <c r="BTG33" s="216"/>
      <c r="BTH33" s="216"/>
      <c r="BTI33" s="216"/>
      <c r="BTJ33" s="216"/>
      <c r="BTK33" s="216"/>
      <c r="BTL33" s="216"/>
      <c r="BTM33" s="216"/>
      <c r="BTN33" s="216"/>
      <c r="BTO33" s="216"/>
      <c r="BTP33" s="216"/>
      <c r="BTQ33" s="216"/>
      <c r="BTR33" s="216"/>
      <c r="BTS33" s="216"/>
      <c r="BTT33" s="216"/>
      <c r="BTU33" s="216"/>
      <c r="BTV33" s="216"/>
      <c r="BTW33" s="216"/>
      <c r="BTX33" s="216"/>
      <c r="BTY33" s="216"/>
      <c r="BTZ33" s="216"/>
      <c r="BUA33" s="216"/>
      <c r="BUB33" s="216"/>
      <c r="BUC33" s="216"/>
      <c r="BUD33" s="216"/>
      <c r="BUE33" s="216"/>
      <c r="BUF33" s="216"/>
      <c r="BUG33" s="216"/>
      <c r="BUH33" s="216"/>
      <c r="BUI33" s="216"/>
      <c r="BUJ33" s="216"/>
      <c r="BUK33" s="216"/>
      <c r="BUL33" s="216"/>
      <c r="BUM33" s="216"/>
      <c r="BUN33" s="216"/>
      <c r="BUO33" s="216"/>
      <c r="BUP33" s="216"/>
      <c r="BUQ33" s="216"/>
      <c r="BUR33" s="216"/>
      <c r="BUS33" s="216"/>
      <c r="BUT33" s="216"/>
      <c r="BUU33" s="216"/>
      <c r="BUV33" s="216"/>
      <c r="BUW33" s="216"/>
      <c r="BUX33" s="216"/>
      <c r="BUY33" s="216"/>
      <c r="BUZ33" s="216"/>
      <c r="BVA33" s="216"/>
      <c r="BVB33" s="216"/>
      <c r="BVC33" s="216"/>
      <c r="BVD33" s="216"/>
      <c r="BVE33" s="216"/>
      <c r="BVF33" s="216"/>
      <c r="BVG33" s="216"/>
      <c r="BVH33" s="216"/>
      <c r="BVI33" s="216"/>
      <c r="BVJ33" s="216"/>
      <c r="BVK33" s="216"/>
      <c r="BVL33" s="216"/>
      <c r="BVM33" s="216"/>
      <c r="BVN33" s="216"/>
      <c r="BVO33" s="216"/>
      <c r="BVP33" s="216"/>
      <c r="BVQ33" s="216"/>
      <c r="BVR33" s="216"/>
      <c r="BVS33" s="216"/>
      <c r="BVT33" s="216"/>
      <c r="BVU33" s="216"/>
      <c r="BVV33" s="216"/>
      <c r="BVW33" s="216"/>
      <c r="BVX33" s="216"/>
      <c r="BVY33" s="216"/>
      <c r="BVZ33" s="216"/>
      <c r="BWA33" s="216"/>
      <c r="BWB33" s="216"/>
      <c r="BWC33" s="216"/>
      <c r="BWD33" s="216"/>
      <c r="BWE33" s="216"/>
      <c r="BWF33" s="216"/>
      <c r="BWG33" s="216"/>
      <c r="BWH33" s="216"/>
      <c r="BWI33" s="216"/>
      <c r="BWJ33" s="216"/>
      <c r="BWK33" s="216"/>
      <c r="BWL33" s="216"/>
      <c r="BWM33" s="216"/>
      <c r="BWN33" s="216"/>
      <c r="BWO33" s="216"/>
      <c r="BWP33" s="216"/>
      <c r="BWQ33" s="216"/>
      <c r="BWR33" s="216"/>
      <c r="BWS33" s="216"/>
      <c r="BWT33" s="216"/>
      <c r="BWU33" s="216"/>
      <c r="BWV33" s="216"/>
      <c r="BWW33" s="216"/>
      <c r="BWX33" s="216"/>
      <c r="BWY33" s="216"/>
      <c r="BWZ33" s="216"/>
      <c r="BXA33" s="216"/>
      <c r="BXB33" s="216"/>
      <c r="BXC33" s="216"/>
      <c r="BXD33" s="216"/>
      <c r="BXE33" s="216"/>
      <c r="BXF33" s="216"/>
      <c r="BXG33" s="216"/>
      <c r="BXH33" s="216"/>
      <c r="BXI33" s="216"/>
      <c r="BXJ33" s="216"/>
      <c r="BXK33" s="216"/>
      <c r="BXL33" s="216"/>
      <c r="BXM33" s="216"/>
      <c r="BXN33" s="216"/>
      <c r="BXO33" s="216"/>
      <c r="BXP33" s="216"/>
      <c r="BXQ33" s="216"/>
      <c r="BXR33" s="216"/>
      <c r="BXS33" s="216"/>
      <c r="BXT33" s="216"/>
      <c r="BXU33" s="216"/>
      <c r="BXV33" s="216"/>
      <c r="BXW33" s="216"/>
      <c r="BXX33" s="216"/>
      <c r="BXY33" s="216"/>
      <c r="BXZ33" s="216"/>
      <c r="BYA33" s="216"/>
      <c r="BYB33" s="216"/>
      <c r="BYC33" s="216"/>
      <c r="BYD33" s="216"/>
      <c r="BYE33" s="216"/>
      <c r="BYF33" s="216"/>
      <c r="BYG33" s="216"/>
      <c r="BYH33" s="216"/>
      <c r="BYI33" s="216"/>
      <c r="BYJ33" s="216"/>
      <c r="BYK33" s="216"/>
      <c r="BYL33" s="216"/>
      <c r="BYM33" s="216"/>
      <c r="BYN33" s="216"/>
      <c r="BYO33" s="216"/>
      <c r="BYP33" s="216"/>
      <c r="BYQ33" s="216"/>
      <c r="BYR33" s="216"/>
      <c r="BYS33" s="216"/>
      <c r="BYT33" s="216"/>
      <c r="BYU33" s="216"/>
      <c r="BYV33" s="216"/>
      <c r="BYW33" s="216"/>
      <c r="BYX33" s="216"/>
      <c r="BYY33" s="216"/>
      <c r="BYZ33" s="216"/>
      <c r="BZA33" s="216"/>
      <c r="BZB33" s="216"/>
      <c r="BZC33" s="216"/>
      <c r="BZD33" s="216"/>
      <c r="BZE33" s="216"/>
      <c r="BZF33" s="216"/>
      <c r="BZG33" s="216"/>
      <c r="BZH33" s="216"/>
      <c r="BZI33" s="216"/>
      <c r="BZJ33" s="216"/>
      <c r="BZK33" s="216"/>
      <c r="BZL33" s="216"/>
      <c r="BZM33" s="216"/>
      <c r="BZN33" s="216"/>
      <c r="BZO33" s="216"/>
      <c r="BZP33" s="216"/>
      <c r="BZQ33" s="216"/>
      <c r="BZR33" s="216"/>
      <c r="BZS33" s="216"/>
      <c r="BZT33" s="216"/>
      <c r="BZU33" s="216"/>
      <c r="BZV33" s="216"/>
      <c r="BZW33" s="216"/>
      <c r="BZX33" s="216"/>
      <c r="BZY33" s="216"/>
      <c r="BZZ33" s="216"/>
      <c r="CAA33" s="216"/>
      <c r="CAB33" s="216"/>
      <c r="CAC33" s="216"/>
      <c r="CAD33" s="216"/>
      <c r="CAE33" s="216"/>
      <c r="CAF33" s="216"/>
      <c r="CAG33" s="216"/>
      <c r="CAH33" s="216"/>
      <c r="CAI33" s="216"/>
      <c r="CAJ33" s="216"/>
      <c r="CAK33" s="216"/>
      <c r="CAL33" s="216"/>
      <c r="CAM33" s="216"/>
      <c r="CAN33" s="216"/>
      <c r="CAO33" s="216"/>
      <c r="CAP33" s="216"/>
      <c r="CAQ33" s="216"/>
      <c r="CAR33" s="216"/>
      <c r="CAS33" s="216"/>
      <c r="CAT33" s="216"/>
      <c r="CAU33" s="216"/>
      <c r="CAV33" s="216"/>
      <c r="CAW33" s="216"/>
      <c r="CAX33" s="216"/>
      <c r="CAY33" s="216"/>
      <c r="CAZ33" s="216"/>
      <c r="CBA33" s="216"/>
      <c r="CBB33" s="216"/>
      <c r="CBC33" s="216"/>
      <c r="CBD33" s="216"/>
      <c r="CBE33" s="216"/>
      <c r="CBF33" s="216"/>
      <c r="CBG33" s="216"/>
      <c r="CBH33" s="216"/>
      <c r="CBI33" s="216"/>
      <c r="CBJ33" s="216"/>
      <c r="CBK33" s="216"/>
      <c r="CBL33" s="216"/>
      <c r="CBM33" s="216"/>
      <c r="CBN33" s="216"/>
      <c r="CBO33" s="216"/>
      <c r="CBP33" s="216"/>
      <c r="CBQ33" s="216"/>
      <c r="CBR33" s="216"/>
      <c r="CBS33" s="216"/>
      <c r="CBT33" s="216"/>
      <c r="CBU33" s="216"/>
      <c r="CBV33" s="216"/>
      <c r="CBW33" s="216"/>
      <c r="CBX33" s="216"/>
      <c r="CBY33" s="216"/>
      <c r="CBZ33" s="216"/>
      <c r="CCA33" s="216"/>
      <c r="CCB33" s="216"/>
      <c r="CCC33" s="216"/>
      <c r="CCD33" s="216"/>
      <c r="CCE33" s="216"/>
      <c r="CCF33" s="216"/>
      <c r="CCG33" s="216"/>
      <c r="CCH33" s="216"/>
      <c r="CCI33" s="216"/>
      <c r="CCJ33" s="216"/>
      <c r="CCK33" s="216"/>
      <c r="CCL33" s="216"/>
      <c r="CCM33" s="216"/>
      <c r="CCN33" s="216"/>
      <c r="CCO33" s="216"/>
      <c r="CCP33" s="216"/>
      <c r="CCQ33" s="216"/>
      <c r="CCR33" s="216"/>
      <c r="CCS33" s="216"/>
      <c r="CCT33" s="216"/>
      <c r="CCU33" s="216"/>
      <c r="CCV33" s="216"/>
      <c r="CCW33" s="216"/>
      <c r="CCX33" s="216"/>
      <c r="CCY33" s="216"/>
      <c r="CCZ33" s="216"/>
      <c r="CDA33" s="216"/>
      <c r="CDB33" s="216"/>
      <c r="CDC33" s="216"/>
      <c r="CDD33" s="216"/>
      <c r="CDE33" s="216"/>
      <c r="CDF33" s="216"/>
      <c r="CDG33" s="216"/>
      <c r="CDH33" s="216"/>
      <c r="CDI33" s="216"/>
      <c r="CDJ33" s="216"/>
      <c r="CDK33" s="216"/>
      <c r="CDL33" s="216"/>
      <c r="CDM33" s="216"/>
      <c r="CDN33" s="216"/>
      <c r="CDO33" s="216"/>
      <c r="CDP33" s="216"/>
      <c r="CDQ33" s="216"/>
      <c r="CDR33" s="216"/>
      <c r="CDS33" s="216"/>
      <c r="CDT33" s="216"/>
      <c r="CDU33" s="216"/>
      <c r="CDV33" s="216"/>
      <c r="CDW33" s="216"/>
      <c r="CDX33" s="216"/>
      <c r="CDY33" s="216"/>
      <c r="CDZ33" s="216"/>
      <c r="CEA33" s="216"/>
      <c r="CEB33" s="216"/>
      <c r="CEC33" s="216"/>
      <c r="CED33" s="216"/>
      <c r="CEE33" s="216"/>
      <c r="CEF33" s="216"/>
      <c r="CEG33" s="216"/>
      <c r="CEH33" s="216"/>
      <c r="CEI33" s="216"/>
      <c r="CEJ33" s="216"/>
      <c r="CEK33" s="216"/>
      <c r="CEL33" s="216"/>
      <c r="CEM33" s="216"/>
      <c r="CEN33" s="216"/>
      <c r="CEO33" s="216"/>
      <c r="CEP33" s="216"/>
      <c r="CEQ33" s="216"/>
      <c r="CER33" s="216"/>
      <c r="CES33" s="216"/>
      <c r="CET33" s="216"/>
      <c r="CEU33" s="216"/>
      <c r="CEV33" s="216"/>
      <c r="CEW33" s="216"/>
      <c r="CEX33" s="216"/>
      <c r="CEY33" s="216"/>
      <c r="CEZ33" s="216"/>
      <c r="CFA33" s="216"/>
      <c r="CFB33" s="216"/>
      <c r="CFC33" s="216"/>
      <c r="CFD33" s="216"/>
      <c r="CFE33" s="216"/>
      <c r="CFF33" s="216"/>
      <c r="CFG33" s="216"/>
      <c r="CFH33" s="216"/>
      <c r="CFI33" s="216"/>
      <c r="CFJ33" s="216"/>
      <c r="CFK33" s="216"/>
      <c r="CFL33" s="216"/>
      <c r="CFM33" s="216"/>
      <c r="CFN33" s="216"/>
      <c r="CFO33" s="216"/>
      <c r="CFP33" s="216"/>
      <c r="CFQ33" s="216"/>
      <c r="CFR33" s="216"/>
      <c r="CFS33" s="216"/>
      <c r="CFT33" s="216"/>
      <c r="CFU33" s="216"/>
      <c r="CFV33" s="216"/>
      <c r="CFW33" s="216"/>
      <c r="CFX33" s="216"/>
      <c r="CFY33" s="216"/>
      <c r="CFZ33" s="216"/>
      <c r="CGA33" s="216"/>
      <c r="CGB33" s="216"/>
      <c r="CGC33" s="216"/>
      <c r="CGD33" s="216"/>
      <c r="CGE33" s="216"/>
      <c r="CGF33" s="216"/>
      <c r="CGG33" s="216"/>
      <c r="CGH33" s="216"/>
      <c r="CGI33" s="216"/>
      <c r="CGJ33" s="216"/>
      <c r="CGK33" s="216"/>
      <c r="CGL33" s="216"/>
      <c r="CGM33" s="216"/>
      <c r="CGN33" s="216"/>
      <c r="CGO33" s="216"/>
      <c r="CGP33" s="216"/>
      <c r="CGQ33" s="216"/>
      <c r="CGR33" s="216"/>
      <c r="CGS33" s="216"/>
      <c r="CGT33" s="216"/>
      <c r="CGU33" s="216"/>
      <c r="CGV33" s="216"/>
      <c r="CGW33" s="216"/>
      <c r="CGX33" s="216"/>
      <c r="CGY33" s="216"/>
      <c r="CGZ33" s="216"/>
      <c r="CHA33" s="216"/>
      <c r="CHB33" s="216"/>
      <c r="CHC33" s="216"/>
      <c r="CHD33" s="216"/>
      <c r="CHE33" s="216"/>
      <c r="CHF33" s="216"/>
      <c r="CHG33" s="216"/>
      <c r="CHH33" s="216"/>
      <c r="CHI33" s="216"/>
      <c r="CHJ33" s="216"/>
      <c r="CHK33" s="216"/>
      <c r="CHL33" s="216"/>
      <c r="CHM33" s="216"/>
      <c r="CHN33" s="216"/>
      <c r="CHO33" s="216"/>
      <c r="CHP33" s="216"/>
      <c r="CHQ33" s="216"/>
      <c r="CHR33" s="216"/>
      <c r="CHS33" s="216"/>
      <c r="CHT33" s="216"/>
      <c r="CHU33" s="216"/>
      <c r="CHV33" s="216"/>
      <c r="CHW33" s="216"/>
      <c r="CHX33" s="216"/>
      <c r="CHY33" s="216"/>
      <c r="CHZ33" s="216"/>
      <c r="CIA33" s="216"/>
      <c r="CIB33" s="216"/>
      <c r="CIC33" s="216"/>
      <c r="CID33" s="216"/>
      <c r="CIE33" s="216"/>
      <c r="CIF33" s="216"/>
      <c r="CIG33" s="216"/>
      <c r="CIH33" s="216"/>
      <c r="CII33" s="216"/>
      <c r="CIJ33" s="216"/>
      <c r="CIK33" s="216"/>
      <c r="CIL33" s="216"/>
      <c r="CIM33" s="216"/>
      <c r="CIN33" s="216"/>
      <c r="CIO33" s="216"/>
      <c r="CIP33" s="216"/>
      <c r="CIQ33" s="216"/>
      <c r="CIR33" s="216"/>
      <c r="CIS33" s="216"/>
      <c r="CIT33" s="216"/>
      <c r="CIU33" s="216"/>
      <c r="CIV33" s="216"/>
      <c r="CIW33" s="216"/>
      <c r="CIX33" s="216"/>
      <c r="CIY33" s="216"/>
      <c r="CIZ33" s="216"/>
      <c r="CJA33" s="216"/>
      <c r="CJB33" s="216"/>
      <c r="CJC33" s="216"/>
      <c r="CJD33" s="216"/>
      <c r="CJE33" s="216"/>
      <c r="CJF33" s="216"/>
      <c r="CJG33" s="216"/>
      <c r="CJH33" s="216"/>
      <c r="CJI33" s="216"/>
      <c r="CJJ33" s="216"/>
      <c r="CJK33" s="216"/>
      <c r="CJL33" s="216"/>
      <c r="CJM33" s="216"/>
      <c r="CJN33" s="216"/>
      <c r="CJO33" s="216"/>
      <c r="CJP33" s="216"/>
      <c r="CJQ33" s="216"/>
      <c r="CJR33" s="216"/>
      <c r="CJS33" s="216"/>
      <c r="CJT33" s="216"/>
      <c r="CJU33" s="216"/>
      <c r="CJV33" s="216"/>
      <c r="CJW33" s="216"/>
      <c r="CJX33" s="216"/>
      <c r="CJY33" s="216"/>
      <c r="CJZ33" s="216"/>
      <c r="CKA33" s="216"/>
      <c r="CKB33" s="216"/>
      <c r="CKC33" s="216"/>
      <c r="CKD33" s="216"/>
      <c r="CKE33" s="216"/>
      <c r="CKF33" s="216"/>
      <c r="CKG33" s="216"/>
      <c r="CKH33" s="216"/>
      <c r="CKI33" s="216"/>
      <c r="CKJ33" s="216"/>
      <c r="CKK33" s="216"/>
      <c r="CKL33" s="216"/>
      <c r="CKM33" s="216"/>
      <c r="CKN33" s="216"/>
      <c r="CKO33" s="216"/>
      <c r="CKP33" s="216"/>
      <c r="CKQ33" s="216"/>
      <c r="CKR33" s="216"/>
      <c r="CKS33" s="216"/>
      <c r="CKT33" s="216"/>
      <c r="CKU33" s="216"/>
      <c r="CKV33" s="216"/>
      <c r="CKW33" s="216"/>
      <c r="CKX33" s="216"/>
      <c r="CKY33" s="216"/>
      <c r="CKZ33" s="216"/>
      <c r="CLA33" s="216"/>
      <c r="CLB33" s="216"/>
      <c r="CLC33" s="216"/>
      <c r="CLD33" s="216"/>
      <c r="CLE33" s="216"/>
      <c r="CLF33" s="216"/>
      <c r="CLG33" s="216"/>
      <c r="CLH33" s="216"/>
      <c r="CLI33" s="216"/>
      <c r="CLJ33" s="216"/>
      <c r="CLK33" s="216"/>
      <c r="CLL33" s="216"/>
      <c r="CLM33" s="216"/>
      <c r="CLN33" s="216"/>
      <c r="CLO33" s="216"/>
      <c r="CLP33" s="216"/>
      <c r="CLQ33" s="216"/>
      <c r="CLR33" s="216"/>
      <c r="CLS33" s="216"/>
      <c r="CLT33" s="216"/>
      <c r="CLU33" s="216"/>
      <c r="CLV33" s="216"/>
      <c r="CLW33" s="216"/>
      <c r="CLX33" s="216"/>
      <c r="CLY33" s="216"/>
      <c r="CLZ33" s="216"/>
      <c r="CMA33" s="216"/>
      <c r="CMB33" s="216"/>
      <c r="CMC33" s="216"/>
      <c r="CMD33" s="216"/>
      <c r="CME33" s="216"/>
      <c r="CMF33" s="216"/>
      <c r="CMG33" s="216"/>
      <c r="CMH33" s="216"/>
      <c r="CMI33" s="216"/>
      <c r="CMJ33" s="216"/>
      <c r="CMK33" s="216"/>
      <c r="CML33" s="216"/>
      <c r="CMM33" s="216"/>
      <c r="CMN33" s="216"/>
      <c r="CMO33" s="216"/>
      <c r="CMP33" s="216"/>
      <c r="CMQ33" s="216"/>
      <c r="CMR33" s="216"/>
      <c r="CMS33" s="216"/>
      <c r="CMT33" s="216"/>
      <c r="CMU33" s="216"/>
      <c r="CMV33" s="216"/>
      <c r="CMW33" s="216"/>
      <c r="CMX33" s="216"/>
      <c r="CMY33" s="216"/>
      <c r="CMZ33" s="216"/>
      <c r="CNA33" s="216"/>
      <c r="CNB33" s="216"/>
      <c r="CNC33" s="216"/>
      <c r="CND33" s="216"/>
      <c r="CNE33" s="216"/>
      <c r="CNF33" s="216"/>
      <c r="CNG33" s="216"/>
      <c r="CNH33" s="216"/>
      <c r="CNI33" s="216"/>
      <c r="CNJ33" s="216"/>
      <c r="CNK33" s="216"/>
      <c r="CNL33" s="216"/>
      <c r="CNM33" s="216"/>
      <c r="CNN33" s="216"/>
      <c r="CNO33" s="216"/>
      <c r="CNP33" s="216"/>
      <c r="CNQ33" s="216"/>
      <c r="CNR33" s="216"/>
      <c r="CNS33" s="216"/>
      <c r="CNT33" s="216"/>
      <c r="CNU33" s="216"/>
      <c r="CNV33" s="216"/>
      <c r="CNW33" s="216"/>
      <c r="CNX33" s="216"/>
      <c r="CNY33" s="216"/>
      <c r="CNZ33" s="216"/>
      <c r="COA33" s="216"/>
      <c r="COB33" s="216"/>
      <c r="COC33" s="216"/>
      <c r="COD33" s="216"/>
      <c r="COE33" s="216"/>
      <c r="COF33" s="216"/>
      <c r="COG33" s="216"/>
      <c r="COH33" s="216"/>
      <c r="COI33" s="216"/>
      <c r="COJ33" s="216"/>
      <c r="COK33" s="216"/>
      <c r="COL33" s="216"/>
      <c r="COM33" s="216"/>
      <c r="CON33" s="216"/>
      <c r="COO33" s="216"/>
      <c r="COP33" s="216"/>
      <c r="COQ33" s="216"/>
      <c r="COR33" s="216"/>
      <c r="COS33" s="216"/>
      <c r="COT33" s="216"/>
      <c r="COU33" s="216"/>
      <c r="COV33" s="216"/>
      <c r="COW33" s="216"/>
      <c r="COX33" s="216"/>
      <c r="COY33" s="216"/>
      <c r="COZ33" s="216"/>
      <c r="CPA33" s="216"/>
      <c r="CPB33" s="216"/>
      <c r="CPC33" s="216"/>
      <c r="CPD33" s="216"/>
      <c r="CPE33" s="216"/>
      <c r="CPF33" s="216"/>
      <c r="CPG33" s="216"/>
      <c r="CPH33" s="216"/>
      <c r="CPI33" s="216"/>
      <c r="CPJ33" s="216"/>
      <c r="CPK33" s="216"/>
      <c r="CPL33" s="216"/>
      <c r="CPM33" s="216"/>
      <c r="CPN33" s="216"/>
      <c r="CPO33" s="216"/>
      <c r="CPP33" s="216"/>
      <c r="CPQ33" s="216"/>
      <c r="CPR33" s="216"/>
      <c r="CPS33" s="216"/>
      <c r="CPT33" s="216"/>
      <c r="CPU33" s="216"/>
      <c r="CPV33" s="216"/>
      <c r="CPW33" s="216"/>
      <c r="CPX33" s="216"/>
      <c r="CPY33" s="216"/>
      <c r="CPZ33" s="216"/>
      <c r="CQA33" s="216"/>
      <c r="CQB33" s="216"/>
      <c r="CQC33" s="216"/>
      <c r="CQD33" s="216"/>
      <c r="CQE33" s="216"/>
      <c r="CQF33" s="216"/>
      <c r="CQG33" s="216"/>
      <c r="CQH33" s="216"/>
      <c r="CQI33" s="216"/>
      <c r="CQJ33" s="216"/>
      <c r="CQK33" s="216"/>
      <c r="CQL33" s="216"/>
      <c r="CQM33" s="216"/>
      <c r="CQN33" s="216"/>
      <c r="CQO33" s="216"/>
      <c r="CQP33" s="216"/>
      <c r="CQQ33" s="216"/>
      <c r="CQR33" s="216"/>
      <c r="CQS33" s="216"/>
      <c r="CQT33" s="216"/>
      <c r="CQU33" s="216"/>
      <c r="CQV33" s="216"/>
      <c r="CQW33" s="216"/>
      <c r="CQX33" s="216"/>
      <c r="CQY33" s="216"/>
      <c r="CQZ33" s="216"/>
      <c r="CRA33" s="216"/>
      <c r="CRB33" s="216"/>
      <c r="CRC33" s="216"/>
      <c r="CRD33" s="216"/>
      <c r="CRE33" s="216"/>
      <c r="CRF33" s="216"/>
      <c r="CRG33" s="216"/>
      <c r="CRH33" s="216"/>
      <c r="CRI33" s="216"/>
      <c r="CRJ33" s="216"/>
      <c r="CRK33" s="216"/>
      <c r="CRL33" s="216"/>
      <c r="CRM33" s="216"/>
      <c r="CRN33" s="216"/>
      <c r="CRO33" s="216"/>
      <c r="CRP33" s="216"/>
      <c r="CRQ33" s="216"/>
      <c r="CRR33" s="216"/>
      <c r="CRS33" s="216"/>
      <c r="CRT33" s="216"/>
      <c r="CRU33" s="216"/>
      <c r="CRV33" s="216"/>
      <c r="CRW33" s="216"/>
      <c r="CRX33" s="216"/>
      <c r="CRY33" s="216"/>
      <c r="CRZ33" s="216"/>
      <c r="CSA33" s="216"/>
      <c r="CSB33" s="216"/>
      <c r="CSC33" s="216"/>
      <c r="CSD33" s="216"/>
      <c r="CSE33" s="216"/>
      <c r="CSF33" s="216"/>
      <c r="CSG33" s="216"/>
      <c r="CSH33" s="216"/>
      <c r="CSI33" s="216"/>
      <c r="CSJ33" s="216"/>
      <c r="CSK33" s="216"/>
      <c r="CSL33" s="216"/>
      <c r="CSM33" s="216"/>
      <c r="CSN33" s="216"/>
      <c r="CSO33" s="216"/>
      <c r="CSP33" s="216"/>
      <c r="CSQ33" s="216"/>
      <c r="CSR33" s="216"/>
      <c r="CSS33" s="216"/>
      <c r="CST33" s="216"/>
      <c r="CSU33" s="216"/>
      <c r="CSV33" s="216"/>
      <c r="CSW33" s="216"/>
      <c r="CSX33" s="216"/>
      <c r="CSY33" s="216"/>
      <c r="CSZ33" s="216"/>
      <c r="CTA33" s="216"/>
      <c r="CTB33" s="216"/>
      <c r="CTC33" s="216"/>
      <c r="CTD33" s="216"/>
      <c r="CTE33" s="216"/>
      <c r="CTF33" s="216"/>
      <c r="CTG33" s="216"/>
      <c r="CTH33" s="216"/>
      <c r="CTI33" s="216"/>
      <c r="CTJ33" s="216"/>
      <c r="CTK33" s="216"/>
      <c r="CTL33" s="216"/>
      <c r="CTM33" s="216"/>
      <c r="CTN33" s="216"/>
      <c r="CTO33" s="216"/>
      <c r="CTP33" s="216"/>
      <c r="CTQ33" s="216"/>
      <c r="CTR33" s="216"/>
      <c r="CTS33" s="216"/>
      <c r="CTT33" s="216"/>
      <c r="CTU33" s="216"/>
      <c r="CTV33" s="216"/>
      <c r="CTW33" s="216"/>
      <c r="CTX33" s="216"/>
      <c r="CTY33" s="216"/>
      <c r="CTZ33" s="216"/>
      <c r="CUA33" s="216"/>
      <c r="CUB33" s="216"/>
      <c r="CUC33" s="216"/>
      <c r="CUD33" s="216"/>
      <c r="CUE33" s="216"/>
      <c r="CUF33" s="216"/>
      <c r="CUG33" s="216"/>
      <c r="CUH33" s="216"/>
      <c r="CUI33" s="216"/>
      <c r="CUJ33" s="216"/>
      <c r="CUK33" s="216"/>
      <c r="CUL33" s="216"/>
      <c r="CUM33" s="216"/>
      <c r="CUN33" s="216"/>
      <c r="CUO33" s="216"/>
      <c r="CUP33" s="216"/>
      <c r="CUQ33" s="216"/>
      <c r="CUR33" s="216"/>
      <c r="CUS33" s="216"/>
      <c r="CUT33" s="216"/>
      <c r="CUU33" s="216"/>
      <c r="CUV33" s="216"/>
      <c r="CUW33" s="216"/>
      <c r="CUX33" s="216"/>
      <c r="CUY33" s="216"/>
      <c r="CUZ33" s="216"/>
      <c r="CVA33" s="216"/>
      <c r="CVB33" s="216"/>
      <c r="CVC33" s="216"/>
      <c r="CVD33" s="216"/>
      <c r="CVE33" s="216"/>
      <c r="CVF33" s="216"/>
      <c r="CVG33" s="216"/>
      <c r="CVH33" s="216"/>
      <c r="CVI33" s="216"/>
      <c r="CVJ33" s="216"/>
      <c r="CVK33" s="216"/>
      <c r="CVL33" s="216"/>
      <c r="CVM33" s="216"/>
      <c r="CVN33" s="216"/>
      <c r="CVO33" s="216"/>
      <c r="CVP33" s="216"/>
      <c r="CVQ33" s="216"/>
      <c r="CVR33" s="216"/>
      <c r="CVS33" s="216"/>
      <c r="CVT33" s="216"/>
      <c r="CVU33" s="216"/>
      <c r="CVV33" s="216"/>
      <c r="CVW33" s="216"/>
      <c r="CVX33" s="216"/>
      <c r="CVY33" s="216"/>
      <c r="CVZ33" s="216"/>
      <c r="CWA33" s="216"/>
      <c r="CWB33" s="216"/>
      <c r="CWC33" s="216"/>
      <c r="CWD33" s="216"/>
      <c r="CWE33" s="216"/>
      <c r="CWF33" s="216"/>
      <c r="CWG33" s="216"/>
      <c r="CWH33" s="216"/>
      <c r="CWI33" s="216"/>
      <c r="CWJ33" s="216"/>
      <c r="CWK33" s="216"/>
      <c r="CWL33" s="216"/>
      <c r="CWM33" s="216"/>
      <c r="CWN33" s="216"/>
      <c r="CWO33" s="216"/>
      <c r="CWP33" s="216"/>
      <c r="CWQ33" s="216"/>
      <c r="CWR33" s="216"/>
      <c r="CWS33" s="216"/>
      <c r="CWT33" s="216"/>
      <c r="CWU33" s="216"/>
      <c r="CWV33" s="216"/>
      <c r="CWW33" s="216"/>
      <c r="CWX33" s="216"/>
      <c r="CWY33" s="216"/>
      <c r="CWZ33" s="216"/>
      <c r="CXA33" s="216"/>
      <c r="CXB33" s="216"/>
      <c r="CXC33" s="216"/>
      <c r="CXD33" s="216"/>
      <c r="CXE33" s="216"/>
      <c r="CXF33" s="216"/>
      <c r="CXG33" s="216"/>
      <c r="CXH33" s="216"/>
      <c r="CXI33" s="216"/>
      <c r="CXJ33" s="216"/>
      <c r="CXK33" s="216"/>
      <c r="CXL33" s="216"/>
      <c r="CXM33" s="216"/>
      <c r="CXN33" s="216"/>
      <c r="CXO33" s="216"/>
      <c r="CXP33" s="216"/>
      <c r="CXQ33" s="216"/>
      <c r="CXR33" s="216"/>
      <c r="CXS33" s="216"/>
      <c r="CXT33" s="216"/>
      <c r="CXU33" s="216"/>
      <c r="CXV33" s="216"/>
      <c r="CXW33" s="216"/>
      <c r="CXX33" s="216"/>
      <c r="CXY33" s="216"/>
      <c r="CXZ33" s="216"/>
      <c r="CYA33" s="216"/>
      <c r="CYB33" s="216"/>
      <c r="CYC33" s="216"/>
      <c r="CYD33" s="216"/>
      <c r="CYE33" s="216"/>
      <c r="CYF33" s="216"/>
      <c r="CYG33" s="216"/>
      <c r="CYH33" s="216"/>
      <c r="CYI33" s="216"/>
      <c r="CYJ33" s="216"/>
      <c r="CYK33" s="216"/>
      <c r="CYL33" s="216"/>
      <c r="CYM33" s="216"/>
      <c r="CYN33" s="216"/>
      <c r="CYO33" s="216"/>
      <c r="CYP33" s="216"/>
      <c r="CYQ33" s="216"/>
      <c r="CYR33" s="216"/>
      <c r="CYS33" s="216"/>
      <c r="CYT33" s="216"/>
      <c r="CYU33" s="216"/>
      <c r="CYV33" s="216"/>
      <c r="CYW33" s="216"/>
      <c r="CYX33" s="216"/>
      <c r="CYY33" s="216"/>
      <c r="CYZ33" s="216"/>
      <c r="CZA33" s="216"/>
      <c r="CZB33" s="216"/>
      <c r="CZC33" s="216"/>
      <c r="CZD33" s="216"/>
      <c r="CZE33" s="216"/>
      <c r="CZF33" s="216"/>
      <c r="CZG33" s="216"/>
      <c r="CZH33" s="216"/>
      <c r="CZI33" s="216"/>
      <c r="CZJ33" s="216"/>
      <c r="CZK33" s="216"/>
      <c r="CZL33" s="216"/>
      <c r="CZM33" s="216"/>
      <c r="CZN33" s="216"/>
      <c r="CZO33" s="216"/>
      <c r="CZP33" s="216"/>
      <c r="CZQ33" s="216"/>
      <c r="CZR33" s="216"/>
      <c r="CZS33" s="216"/>
      <c r="CZT33" s="216"/>
      <c r="CZU33" s="216"/>
      <c r="CZV33" s="216"/>
      <c r="CZW33" s="216"/>
      <c r="CZX33" s="216"/>
      <c r="CZY33" s="216"/>
      <c r="CZZ33" s="216"/>
      <c r="DAA33" s="216"/>
      <c r="DAB33" s="216"/>
      <c r="DAC33" s="216"/>
      <c r="DAD33" s="216"/>
      <c r="DAE33" s="216"/>
      <c r="DAF33" s="216"/>
      <c r="DAG33" s="216"/>
      <c r="DAH33" s="216"/>
      <c r="DAI33" s="216"/>
      <c r="DAJ33" s="216"/>
      <c r="DAK33" s="216"/>
      <c r="DAL33" s="216"/>
      <c r="DAM33" s="216"/>
      <c r="DAN33" s="216"/>
      <c r="DAO33" s="216"/>
      <c r="DAP33" s="216"/>
      <c r="DAQ33" s="216"/>
      <c r="DAR33" s="216"/>
      <c r="DAS33" s="216"/>
      <c r="DAT33" s="216"/>
      <c r="DAU33" s="216"/>
      <c r="DAV33" s="216"/>
      <c r="DAW33" s="216"/>
      <c r="DAX33" s="216"/>
      <c r="DAY33" s="216"/>
      <c r="DAZ33" s="216"/>
      <c r="DBA33" s="216"/>
      <c r="DBB33" s="216"/>
      <c r="DBC33" s="216"/>
      <c r="DBD33" s="216"/>
      <c r="DBE33" s="216"/>
      <c r="DBF33" s="216"/>
      <c r="DBG33" s="216"/>
      <c r="DBH33" s="216"/>
      <c r="DBI33" s="216"/>
      <c r="DBJ33" s="216"/>
      <c r="DBK33" s="216"/>
      <c r="DBL33" s="216"/>
      <c r="DBM33" s="216"/>
      <c r="DBN33" s="216"/>
      <c r="DBO33" s="216"/>
      <c r="DBP33" s="216"/>
      <c r="DBQ33" s="216"/>
      <c r="DBR33" s="216"/>
      <c r="DBS33" s="216"/>
      <c r="DBT33" s="216"/>
      <c r="DBU33" s="216"/>
      <c r="DBV33" s="216"/>
      <c r="DBW33" s="216"/>
      <c r="DBX33" s="216"/>
      <c r="DBY33" s="216"/>
      <c r="DBZ33" s="216"/>
      <c r="DCA33" s="216"/>
      <c r="DCB33" s="216"/>
      <c r="DCC33" s="216"/>
      <c r="DCD33" s="216"/>
      <c r="DCE33" s="216"/>
      <c r="DCF33" s="216"/>
      <c r="DCG33" s="216"/>
      <c r="DCH33" s="216"/>
      <c r="DCI33" s="216"/>
      <c r="DCJ33" s="216"/>
      <c r="DCK33" s="216"/>
      <c r="DCL33" s="216"/>
      <c r="DCM33" s="216"/>
      <c r="DCN33" s="216"/>
      <c r="DCO33" s="216"/>
      <c r="DCP33" s="216"/>
      <c r="DCQ33" s="216"/>
      <c r="DCR33" s="216"/>
      <c r="DCS33" s="216"/>
      <c r="DCT33" s="216"/>
      <c r="DCU33" s="216"/>
      <c r="DCV33" s="216"/>
      <c r="DCW33" s="216"/>
      <c r="DCX33" s="216"/>
      <c r="DCY33" s="216"/>
      <c r="DCZ33" s="216"/>
      <c r="DDA33" s="216"/>
      <c r="DDB33" s="216"/>
      <c r="DDC33" s="216"/>
      <c r="DDD33" s="216"/>
      <c r="DDE33" s="216"/>
      <c r="DDF33" s="216"/>
      <c r="DDG33" s="216"/>
      <c r="DDH33" s="216"/>
      <c r="DDI33" s="216"/>
      <c r="DDJ33" s="216"/>
      <c r="DDK33" s="216"/>
      <c r="DDL33" s="216"/>
      <c r="DDM33" s="216"/>
      <c r="DDN33" s="216"/>
      <c r="DDO33" s="216"/>
      <c r="DDP33" s="216"/>
      <c r="DDQ33" s="216"/>
      <c r="DDR33" s="216"/>
      <c r="DDS33" s="216"/>
      <c r="DDT33" s="216"/>
      <c r="DDU33" s="216"/>
      <c r="DDV33" s="216"/>
      <c r="DDW33" s="216"/>
      <c r="DDX33" s="216"/>
      <c r="DDY33" s="216"/>
      <c r="DDZ33" s="216"/>
      <c r="DEA33" s="216"/>
      <c r="DEB33" s="216"/>
      <c r="DEC33" s="216"/>
      <c r="DED33" s="216"/>
      <c r="DEE33" s="216"/>
      <c r="DEF33" s="216"/>
      <c r="DEG33" s="216"/>
      <c r="DEH33" s="216"/>
      <c r="DEI33" s="216"/>
      <c r="DEJ33" s="216"/>
      <c r="DEK33" s="216"/>
      <c r="DEL33" s="216"/>
      <c r="DEM33" s="216"/>
      <c r="DEN33" s="216"/>
      <c r="DEO33" s="216"/>
      <c r="DEP33" s="216"/>
      <c r="DEQ33" s="216"/>
      <c r="DER33" s="216"/>
      <c r="DES33" s="216"/>
      <c r="DET33" s="216"/>
      <c r="DEU33" s="216"/>
      <c r="DEV33" s="216"/>
      <c r="DEW33" s="216"/>
      <c r="DEX33" s="216"/>
      <c r="DEY33" s="216"/>
      <c r="DEZ33" s="216"/>
      <c r="DFA33" s="216"/>
      <c r="DFB33" s="216"/>
      <c r="DFC33" s="216"/>
      <c r="DFD33" s="216"/>
      <c r="DFE33" s="216"/>
      <c r="DFF33" s="216"/>
      <c r="DFG33" s="216"/>
      <c r="DFH33" s="216"/>
      <c r="DFI33" s="216"/>
      <c r="DFJ33" s="216"/>
      <c r="DFK33" s="216"/>
      <c r="DFL33" s="216"/>
      <c r="DFM33" s="216"/>
      <c r="DFN33" s="216"/>
      <c r="DFO33" s="216"/>
      <c r="DFP33" s="216"/>
      <c r="DFQ33" s="216"/>
      <c r="DFR33" s="216"/>
      <c r="DFS33" s="216"/>
      <c r="DFT33" s="216"/>
      <c r="DFU33" s="216"/>
      <c r="DFV33" s="216"/>
      <c r="DFW33" s="216"/>
      <c r="DFX33" s="216"/>
      <c r="DFY33" s="216"/>
      <c r="DFZ33" s="216"/>
      <c r="DGA33" s="216"/>
      <c r="DGB33" s="216"/>
      <c r="DGC33" s="216"/>
      <c r="DGD33" s="216"/>
      <c r="DGE33" s="216"/>
      <c r="DGF33" s="216"/>
      <c r="DGG33" s="216"/>
      <c r="DGH33" s="216"/>
      <c r="DGI33" s="216"/>
      <c r="DGJ33" s="216"/>
      <c r="DGK33" s="216"/>
      <c r="DGL33" s="216"/>
      <c r="DGM33" s="216"/>
      <c r="DGN33" s="216"/>
      <c r="DGO33" s="216"/>
      <c r="DGP33" s="216"/>
      <c r="DGQ33" s="216"/>
      <c r="DGR33" s="216"/>
      <c r="DGS33" s="216"/>
      <c r="DGT33" s="216"/>
      <c r="DGU33" s="216"/>
      <c r="DGV33" s="216"/>
      <c r="DGW33" s="216"/>
      <c r="DGX33" s="216"/>
      <c r="DGY33" s="216"/>
      <c r="DGZ33" s="216"/>
      <c r="DHA33" s="216"/>
      <c r="DHB33" s="216"/>
      <c r="DHC33" s="216"/>
      <c r="DHD33" s="216"/>
      <c r="DHE33" s="216"/>
      <c r="DHF33" s="216"/>
      <c r="DHG33" s="216"/>
      <c r="DHH33" s="216"/>
      <c r="DHI33" s="216"/>
      <c r="DHJ33" s="216"/>
      <c r="DHK33" s="216"/>
      <c r="DHL33" s="216"/>
      <c r="DHM33" s="216"/>
      <c r="DHN33" s="216"/>
      <c r="DHO33" s="216"/>
      <c r="DHP33" s="216"/>
      <c r="DHQ33" s="216"/>
      <c r="DHR33" s="216"/>
      <c r="DHS33" s="216"/>
      <c r="DHT33" s="216"/>
      <c r="DHU33" s="216"/>
      <c r="DHV33" s="216"/>
      <c r="DHW33" s="216"/>
      <c r="DHX33" s="216"/>
      <c r="DHY33" s="216"/>
      <c r="DHZ33" s="216"/>
      <c r="DIA33" s="216"/>
      <c r="DIB33" s="216"/>
      <c r="DIC33" s="216"/>
      <c r="DID33" s="216"/>
      <c r="DIE33" s="216"/>
      <c r="DIF33" s="216"/>
      <c r="DIG33" s="216"/>
      <c r="DIH33" s="216"/>
      <c r="DII33" s="216"/>
      <c r="DIJ33" s="216"/>
      <c r="DIK33" s="216"/>
      <c r="DIL33" s="216"/>
      <c r="DIM33" s="216"/>
      <c r="DIN33" s="216"/>
      <c r="DIO33" s="216"/>
      <c r="DIP33" s="216"/>
      <c r="DIQ33" s="216"/>
      <c r="DIR33" s="216"/>
      <c r="DIS33" s="216"/>
      <c r="DIT33" s="216"/>
      <c r="DIU33" s="216"/>
      <c r="DIV33" s="216"/>
      <c r="DIW33" s="216"/>
      <c r="DIX33" s="216"/>
      <c r="DIY33" s="216"/>
      <c r="DIZ33" s="216"/>
      <c r="DJA33" s="216"/>
      <c r="DJB33" s="216"/>
      <c r="DJC33" s="216"/>
      <c r="DJD33" s="216"/>
      <c r="DJE33" s="216"/>
      <c r="DJF33" s="216"/>
      <c r="DJG33" s="216"/>
      <c r="DJH33" s="216"/>
      <c r="DJI33" s="216"/>
      <c r="DJJ33" s="216"/>
      <c r="DJK33" s="216"/>
      <c r="DJL33" s="216"/>
      <c r="DJM33" s="216"/>
      <c r="DJN33" s="216"/>
      <c r="DJO33" s="216"/>
      <c r="DJP33" s="216"/>
      <c r="DJQ33" s="216"/>
      <c r="DJR33" s="216"/>
      <c r="DJS33" s="216"/>
      <c r="DJT33" s="216"/>
      <c r="DJU33" s="216"/>
      <c r="DJV33" s="216"/>
      <c r="DJW33" s="216"/>
      <c r="DJX33" s="216"/>
      <c r="DJY33" s="216"/>
      <c r="DJZ33" s="216"/>
      <c r="DKA33" s="216"/>
      <c r="DKB33" s="216"/>
      <c r="DKC33" s="216"/>
      <c r="DKD33" s="216"/>
      <c r="DKE33" s="216"/>
      <c r="DKF33" s="216"/>
      <c r="DKG33" s="216"/>
      <c r="DKH33" s="216"/>
      <c r="DKI33" s="216"/>
      <c r="DKJ33" s="216"/>
      <c r="DKK33" s="216"/>
      <c r="DKL33" s="216"/>
      <c r="DKM33" s="216"/>
      <c r="DKN33" s="216"/>
      <c r="DKO33" s="216"/>
      <c r="DKP33" s="216"/>
      <c r="DKQ33" s="216"/>
      <c r="DKR33" s="216"/>
      <c r="DKS33" s="216"/>
      <c r="DKT33" s="216"/>
      <c r="DKU33" s="216"/>
      <c r="DKV33" s="216"/>
      <c r="DKW33" s="216"/>
      <c r="DKX33" s="216"/>
      <c r="DKY33" s="216"/>
      <c r="DKZ33" s="216"/>
      <c r="DLA33" s="216"/>
      <c r="DLB33" s="216"/>
      <c r="DLC33" s="216"/>
      <c r="DLD33" s="216"/>
      <c r="DLE33" s="216"/>
      <c r="DLF33" s="216"/>
      <c r="DLG33" s="216"/>
      <c r="DLH33" s="216"/>
      <c r="DLI33" s="216"/>
      <c r="DLJ33" s="216"/>
      <c r="DLK33" s="216"/>
      <c r="DLL33" s="216"/>
      <c r="DLM33" s="216"/>
      <c r="DLN33" s="216"/>
      <c r="DLO33" s="216"/>
      <c r="DLP33" s="216"/>
      <c r="DLQ33" s="216"/>
      <c r="DLR33" s="216"/>
      <c r="DLS33" s="216"/>
      <c r="DLT33" s="216"/>
      <c r="DLU33" s="216"/>
      <c r="DLV33" s="216"/>
      <c r="DLW33" s="216"/>
      <c r="DLX33" s="216"/>
      <c r="DLY33" s="216"/>
      <c r="DLZ33" s="216"/>
      <c r="DMA33" s="216"/>
      <c r="DMB33" s="216"/>
      <c r="DMC33" s="216"/>
      <c r="DMD33" s="216"/>
      <c r="DME33" s="216"/>
      <c r="DMF33" s="216"/>
      <c r="DMG33" s="216"/>
      <c r="DMH33" s="216"/>
      <c r="DMI33" s="216"/>
      <c r="DMJ33" s="216"/>
      <c r="DMK33" s="216"/>
      <c r="DML33" s="216"/>
      <c r="DMM33" s="216"/>
      <c r="DMN33" s="216"/>
      <c r="DMO33" s="216"/>
      <c r="DMP33" s="216"/>
      <c r="DMQ33" s="216"/>
      <c r="DMR33" s="216"/>
      <c r="DMS33" s="216"/>
      <c r="DMT33" s="216"/>
      <c r="DMU33" s="216"/>
      <c r="DMV33" s="216"/>
      <c r="DMW33" s="216"/>
      <c r="DMX33" s="216"/>
      <c r="DMY33" s="216"/>
      <c r="DMZ33" s="216"/>
      <c r="DNA33" s="216"/>
      <c r="DNB33" s="216"/>
      <c r="DNC33" s="216"/>
      <c r="DND33" s="216"/>
      <c r="DNE33" s="216"/>
      <c r="DNF33" s="216"/>
      <c r="DNG33" s="216"/>
      <c r="DNH33" s="216"/>
      <c r="DNI33" s="216"/>
      <c r="DNJ33" s="216"/>
      <c r="DNK33" s="216"/>
      <c r="DNL33" s="216"/>
      <c r="DNM33" s="216"/>
      <c r="DNN33" s="216"/>
      <c r="DNO33" s="216"/>
      <c r="DNP33" s="216"/>
      <c r="DNQ33" s="216"/>
      <c r="DNR33" s="216"/>
      <c r="DNS33" s="216"/>
      <c r="DNT33" s="216"/>
      <c r="DNU33" s="216"/>
      <c r="DNV33" s="216"/>
      <c r="DNW33" s="216"/>
      <c r="DNX33" s="216"/>
      <c r="DNY33" s="216"/>
      <c r="DNZ33" s="216"/>
      <c r="DOA33" s="216"/>
      <c r="DOB33" s="216"/>
      <c r="DOC33" s="216"/>
      <c r="DOD33" s="216"/>
      <c r="DOE33" s="216"/>
      <c r="DOF33" s="216"/>
      <c r="DOG33" s="216"/>
      <c r="DOH33" s="216"/>
      <c r="DOI33" s="216"/>
      <c r="DOJ33" s="216"/>
      <c r="DOK33" s="216"/>
      <c r="DOL33" s="216"/>
      <c r="DOM33" s="216"/>
      <c r="DON33" s="216"/>
      <c r="DOO33" s="216"/>
      <c r="DOP33" s="216"/>
      <c r="DOQ33" s="216"/>
      <c r="DOR33" s="216"/>
      <c r="DOS33" s="216"/>
      <c r="DOT33" s="216"/>
      <c r="DOU33" s="216"/>
      <c r="DOV33" s="216"/>
      <c r="DOW33" s="216"/>
      <c r="DOX33" s="216"/>
      <c r="DOY33" s="216"/>
      <c r="DOZ33" s="216"/>
      <c r="DPA33" s="216"/>
      <c r="DPB33" s="216"/>
      <c r="DPC33" s="216"/>
      <c r="DPD33" s="216"/>
      <c r="DPE33" s="216"/>
      <c r="DPF33" s="216"/>
      <c r="DPG33" s="216"/>
      <c r="DPH33" s="216"/>
      <c r="DPI33" s="216"/>
      <c r="DPJ33" s="216"/>
      <c r="DPK33" s="216"/>
      <c r="DPL33" s="216"/>
      <c r="DPM33" s="216"/>
      <c r="DPN33" s="216"/>
      <c r="DPO33" s="216"/>
      <c r="DPP33" s="216"/>
      <c r="DPQ33" s="216"/>
      <c r="DPR33" s="216"/>
      <c r="DPS33" s="216"/>
      <c r="DPT33" s="216"/>
      <c r="DPU33" s="216"/>
      <c r="DPV33" s="216"/>
      <c r="DPW33" s="216"/>
      <c r="DPX33" s="216"/>
      <c r="DPY33" s="216"/>
      <c r="DPZ33" s="216"/>
      <c r="DQA33" s="216"/>
      <c r="DQB33" s="216"/>
      <c r="DQC33" s="216"/>
      <c r="DQD33" s="216"/>
      <c r="DQE33" s="216"/>
      <c r="DQF33" s="216"/>
      <c r="DQG33" s="216"/>
      <c r="DQH33" s="216"/>
      <c r="DQI33" s="216"/>
      <c r="DQJ33" s="216"/>
      <c r="DQK33" s="216"/>
      <c r="DQL33" s="216"/>
      <c r="DQM33" s="216"/>
      <c r="DQN33" s="216"/>
      <c r="DQO33" s="216"/>
      <c r="DQP33" s="216"/>
      <c r="DQQ33" s="216"/>
      <c r="DQR33" s="216"/>
      <c r="DQS33" s="216"/>
      <c r="DQT33" s="216"/>
      <c r="DQU33" s="216"/>
      <c r="DQV33" s="216"/>
      <c r="DQW33" s="216"/>
      <c r="DQX33" s="216"/>
      <c r="DQY33" s="216"/>
      <c r="DQZ33" s="216"/>
      <c r="DRA33" s="216"/>
      <c r="DRB33" s="216"/>
      <c r="DRC33" s="216"/>
      <c r="DRD33" s="216"/>
      <c r="DRE33" s="216"/>
      <c r="DRF33" s="216"/>
      <c r="DRG33" s="216"/>
      <c r="DRH33" s="216"/>
      <c r="DRI33" s="216"/>
      <c r="DRJ33" s="216"/>
      <c r="DRK33" s="216"/>
      <c r="DRL33" s="216"/>
      <c r="DRM33" s="216"/>
      <c r="DRN33" s="216"/>
      <c r="DRO33" s="216"/>
      <c r="DRP33" s="216"/>
      <c r="DRQ33" s="216"/>
      <c r="DRR33" s="216"/>
      <c r="DRS33" s="216"/>
      <c r="DRT33" s="216"/>
      <c r="DRU33" s="216"/>
      <c r="DRV33" s="216"/>
      <c r="DRW33" s="216"/>
      <c r="DRX33" s="216"/>
      <c r="DRY33" s="216"/>
      <c r="DRZ33" s="216"/>
      <c r="DSA33" s="216"/>
      <c r="DSB33" s="216"/>
      <c r="DSC33" s="216"/>
      <c r="DSD33" s="216"/>
      <c r="DSE33" s="216"/>
      <c r="DSF33" s="216"/>
      <c r="DSG33" s="216"/>
      <c r="DSH33" s="216"/>
      <c r="DSI33" s="216"/>
      <c r="DSJ33" s="216"/>
      <c r="DSK33" s="216"/>
      <c r="DSL33" s="216"/>
      <c r="DSM33" s="216"/>
      <c r="DSN33" s="216"/>
      <c r="DSO33" s="216"/>
      <c r="DSP33" s="216"/>
      <c r="DSQ33" s="216"/>
      <c r="DSR33" s="216"/>
      <c r="DSS33" s="216"/>
      <c r="DST33" s="216"/>
      <c r="DSU33" s="216"/>
      <c r="DSV33" s="216"/>
      <c r="DSW33" s="216"/>
      <c r="DSX33" s="216"/>
      <c r="DSY33" s="216"/>
      <c r="DSZ33" s="216"/>
      <c r="DTA33" s="216"/>
      <c r="DTB33" s="216"/>
      <c r="DTC33" s="216"/>
      <c r="DTD33" s="216"/>
      <c r="DTE33" s="216"/>
      <c r="DTF33" s="216"/>
      <c r="DTG33" s="216"/>
      <c r="DTH33" s="216"/>
      <c r="DTI33" s="216"/>
      <c r="DTJ33" s="216"/>
      <c r="DTK33" s="216"/>
      <c r="DTL33" s="216"/>
      <c r="DTM33" s="216"/>
      <c r="DTN33" s="216"/>
      <c r="DTO33" s="216"/>
      <c r="DTP33" s="216"/>
      <c r="DTQ33" s="216"/>
      <c r="DTR33" s="216"/>
      <c r="DTS33" s="216"/>
      <c r="DTT33" s="216"/>
      <c r="DTU33" s="216"/>
      <c r="DTV33" s="216"/>
      <c r="DTW33" s="216"/>
      <c r="DTX33" s="216"/>
      <c r="DTY33" s="216"/>
      <c r="DTZ33" s="216"/>
      <c r="DUA33" s="216"/>
      <c r="DUB33" s="216"/>
      <c r="DUC33" s="216"/>
      <c r="DUD33" s="216"/>
      <c r="DUE33" s="216"/>
      <c r="DUF33" s="216"/>
      <c r="DUG33" s="216"/>
      <c r="DUH33" s="216"/>
      <c r="DUI33" s="216"/>
      <c r="DUJ33" s="216"/>
      <c r="DUK33" s="216"/>
      <c r="DUL33" s="216"/>
      <c r="DUM33" s="216"/>
      <c r="DUN33" s="216"/>
      <c r="DUO33" s="216"/>
      <c r="DUP33" s="216"/>
      <c r="DUQ33" s="216"/>
      <c r="DUR33" s="216"/>
      <c r="DUS33" s="216"/>
      <c r="DUT33" s="216"/>
      <c r="DUU33" s="216"/>
      <c r="DUV33" s="216"/>
      <c r="DUW33" s="216"/>
      <c r="DUX33" s="216"/>
      <c r="DUY33" s="216"/>
      <c r="DUZ33" s="216"/>
      <c r="DVA33" s="216"/>
      <c r="DVB33" s="216"/>
      <c r="DVC33" s="216"/>
      <c r="DVD33" s="216"/>
      <c r="DVE33" s="216"/>
      <c r="DVF33" s="216"/>
      <c r="DVG33" s="216"/>
      <c r="DVH33" s="216"/>
      <c r="DVI33" s="216"/>
      <c r="DVJ33" s="216"/>
      <c r="DVK33" s="216"/>
      <c r="DVL33" s="216"/>
      <c r="DVM33" s="216"/>
      <c r="DVN33" s="216"/>
      <c r="DVO33" s="216"/>
      <c r="DVP33" s="216"/>
      <c r="DVQ33" s="216"/>
      <c r="DVR33" s="216"/>
      <c r="DVS33" s="216"/>
      <c r="DVT33" s="216"/>
      <c r="DVU33" s="216"/>
      <c r="DVV33" s="216"/>
      <c r="DVW33" s="216"/>
      <c r="DVX33" s="216"/>
      <c r="DVY33" s="216"/>
      <c r="DVZ33" s="216"/>
      <c r="DWA33" s="216"/>
      <c r="DWB33" s="216"/>
      <c r="DWC33" s="216"/>
      <c r="DWD33" s="216"/>
      <c r="DWE33" s="216"/>
      <c r="DWF33" s="216"/>
      <c r="DWG33" s="216"/>
      <c r="DWH33" s="216"/>
      <c r="DWI33" s="216"/>
      <c r="DWJ33" s="216"/>
      <c r="DWK33" s="216"/>
      <c r="DWL33" s="216"/>
      <c r="DWM33" s="216"/>
      <c r="DWN33" s="216"/>
      <c r="DWO33" s="216"/>
      <c r="DWP33" s="216"/>
      <c r="DWQ33" s="216"/>
      <c r="DWR33" s="216"/>
      <c r="DWS33" s="216"/>
      <c r="DWT33" s="216"/>
      <c r="DWU33" s="216"/>
      <c r="DWV33" s="216"/>
      <c r="DWW33" s="216"/>
      <c r="DWX33" s="216"/>
      <c r="DWY33" s="216"/>
      <c r="DWZ33" s="216"/>
      <c r="DXA33" s="216"/>
      <c r="DXB33" s="216"/>
      <c r="DXC33" s="216"/>
      <c r="DXD33" s="216"/>
      <c r="DXE33" s="216"/>
      <c r="DXF33" s="216"/>
      <c r="DXG33" s="216"/>
      <c r="DXH33" s="216"/>
      <c r="DXI33" s="216"/>
      <c r="DXJ33" s="216"/>
      <c r="DXK33" s="216"/>
      <c r="DXL33" s="216"/>
      <c r="DXM33" s="216"/>
      <c r="DXN33" s="216"/>
      <c r="DXO33" s="216"/>
      <c r="DXP33" s="216"/>
      <c r="DXQ33" s="216"/>
      <c r="DXR33" s="216"/>
      <c r="DXS33" s="216"/>
      <c r="DXT33" s="216"/>
      <c r="DXU33" s="216"/>
      <c r="DXV33" s="216"/>
      <c r="DXW33" s="216"/>
      <c r="DXX33" s="216"/>
      <c r="DXY33" s="216"/>
      <c r="DXZ33" s="216"/>
      <c r="DYA33" s="216"/>
      <c r="DYB33" s="216"/>
      <c r="DYC33" s="216"/>
      <c r="DYD33" s="216"/>
      <c r="DYE33" s="216"/>
      <c r="DYF33" s="216"/>
      <c r="DYG33" s="216"/>
      <c r="DYH33" s="216"/>
      <c r="DYI33" s="216"/>
      <c r="DYJ33" s="216"/>
      <c r="DYK33" s="216"/>
      <c r="DYL33" s="216"/>
      <c r="DYM33" s="216"/>
      <c r="DYN33" s="216"/>
      <c r="DYO33" s="216"/>
      <c r="DYP33" s="216"/>
      <c r="DYQ33" s="216"/>
      <c r="DYR33" s="216"/>
      <c r="DYS33" s="216"/>
      <c r="DYT33" s="216"/>
      <c r="DYU33" s="216"/>
      <c r="DYV33" s="216"/>
      <c r="DYW33" s="216"/>
      <c r="DYX33" s="216"/>
      <c r="DYY33" s="216"/>
      <c r="DYZ33" s="216"/>
      <c r="DZA33" s="216"/>
      <c r="DZB33" s="216"/>
      <c r="DZC33" s="216"/>
      <c r="DZD33" s="216"/>
      <c r="DZE33" s="216"/>
      <c r="DZF33" s="216"/>
      <c r="DZG33" s="216"/>
      <c r="DZH33" s="216"/>
      <c r="DZI33" s="216"/>
      <c r="DZJ33" s="216"/>
      <c r="DZK33" s="216"/>
      <c r="DZL33" s="216"/>
      <c r="DZM33" s="216"/>
      <c r="DZN33" s="216"/>
      <c r="DZO33" s="216"/>
      <c r="DZP33" s="216"/>
      <c r="DZQ33" s="216"/>
      <c r="DZR33" s="216"/>
      <c r="DZS33" s="216"/>
      <c r="DZT33" s="216"/>
      <c r="DZU33" s="216"/>
      <c r="DZV33" s="216"/>
      <c r="DZW33" s="216"/>
      <c r="DZX33" s="216"/>
      <c r="DZY33" s="216"/>
      <c r="DZZ33" s="216"/>
      <c r="EAA33" s="216"/>
      <c r="EAB33" s="216"/>
      <c r="EAC33" s="216"/>
      <c r="EAD33" s="216"/>
      <c r="EAE33" s="216"/>
      <c r="EAF33" s="216"/>
      <c r="EAG33" s="216"/>
      <c r="EAH33" s="216"/>
      <c r="EAI33" s="216"/>
      <c r="EAJ33" s="216"/>
      <c r="EAK33" s="216"/>
      <c r="EAL33" s="216"/>
      <c r="EAM33" s="216"/>
      <c r="EAN33" s="216"/>
      <c r="EAO33" s="216"/>
      <c r="EAP33" s="216"/>
      <c r="EAQ33" s="216"/>
      <c r="EAR33" s="216"/>
      <c r="EAS33" s="216"/>
      <c r="EAT33" s="216"/>
      <c r="EAU33" s="216"/>
      <c r="EAV33" s="216"/>
      <c r="EAW33" s="216"/>
      <c r="EAX33" s="216"/>
      <c r="EAY33" s="216"/>
      <c r="EAZ33" s="216"/>
      <c r="EBA33" s="216"/>
      <c r="EBB33" s="216"/>
      <c r="EBC33" s="216"/>
      <c r="EBD33" s="216"/>
      <c r="EBE33" s="216"/>
      <c r="EBF33" s="216"/>
      <c r="EBG33" s="216"/>
      <c r="EBH33" s="216"/>
      <c r="EBI33" s="216"/>
      <c r="EBJ33" s="216"/>
      <c r="EBK33" s="216"/>
      <c r="EBL33" s="216"/>
      <c r="EBM33" s="216"/>
      <c r="EBN33" s="216"/>
      <c r="EBO33" s="216"/>
      <c r="EBP33" s="216"/>
      <c r="EBQ33" s="216"/>
      <c r="EBR33" s="216"/>
      <c r="EBS33" s="216"/>
      <c r="EBT33" s="216"/>
      <c r="EBU33" s="216"/>
      <c r="EBV33" s="216"/>
      <c r="EBW33" s="216"/>
      <c r="EBX33" s="216"/>
      <c r="EBY33" s="216"/>
      <c r="EBZ33" s="216"/>
      <c r="ECA33" s="216"/>
      <c r="ECB33" s="216"/>
      <c r="ECC33" s="216"/>
      <c r="ECD33" s="216"/>
      <c r="ECE33" s="216"/>
      <c r="ECF33" s="216"/>
      <c r="ECG33" s="216"/>
      <c r="ECH33" s="216"/>
      <c r="ECI33" s="216"/>
      <c r="ECJ33" s="216"/>
      <c r="ECK33" s="216"/>
      <c r="ECL33" s="216"/>
      <c r="ECM33" s="216"/>
      <c r="ECN33" s="216"/>
      <c r="ECO33" s="216"/>
      <c r="ECP33" s="216"/>
      <c r="ECQ33" s="216"/>
      <c r="ECR33" s="216"/>
      <c r="ECS33" s="216"/>
      <c r="ECT33" s="216"/>
      <c r="ECU33" s="216"/>
      <c r="ECV33" s="216"/>
      <c r="ECW33" s="216"/>
      <c r="ECX33" s="216"/>
      <c r="ECY33" s="216"/>
      <c r="ECZ33" s="216"/>
      <c r="EDA33" s="216"/>
      <c r="EDB33" s="216"/>
      <c r="EDC33" s="216"/>
      <c r="EDD33" s="216"/>
      <c r="EDE33" s="216"/>
      <c r="EDF33" s="216"/>
      <c r="EDG33" s="216"/>
      <c r="EDH33" s="216"/>
      <c r="EDI33" s="216"/>
      <c r="EDJ33" s="216"/>
      <c r="EDK33" s="216"/>
      <c r="EDL33" s="216"/>
      <c r="EDM33" s="216"/>
      <c r="EDN33" s="216"/>
      <c r="EDO33" s="216"/>
      <c r="EDP33" s="216"/>
      <c r="EDQ33" s="216"/>
      <c r="EDR33" s="216"/>
      <c r="EDS33" s="216"/>
      <c r="EDT33" s="216"/>
      <c r="EDU33" s="216"/>
      <c r="EDV33" s="216"/>
      <c r="EDW33" s="216"/>
      <c r="EDX33" s="216"/>
      <c r="EDY33" s="216"/>
      <c r="EDZ33" s="216"/>
      <c r="EEA33" s="216"/>
      <c r="EEB33" s="216"/>
      <c r="EEC33" s="216"/>
      <c r="EED33" s="216"/>
      <c r="EEE33" s="216"/>
      <c r="EEF33" s="216"/>
      <c r="EEG33" s="216"/>
      <c r="EEH33" s="216"/>
      <c r="EEI33" s="216"/>
      <c r="EEJ33" s="216"/>
      <c r="EEK33" s="216"/>
      <c r="EEL33" s="216"/>
      <c r="EEM33" s="216"/>
      <c r="EEN33" s="216"/>
      <c r="EEO33" s="216"/>
      <c r="EEP33" s="216"/>
      <c r="EEQ33" s="216"/>
      <c r="EER33" s="216"/>
      <c r="EES33" s="216"/>
      <c r="EET33" s="216"/>
      <c r="EEU33" s="216"/>
      <c r="EEV33" s="216"/>
      <c r="EEW33" s="216"/>
      <c r="EEX33" s="216"/>
      <c r="EEY33" s="216"/>
      <c r="EEZ33" s="216"/>
      <c r="EFA33" s="216"/>
      <c r="EFB33" s="216"/>
      <c r="EFC33" s="216"/>
      <c r="EFD33" s="216"/>
      <c r="EFE33" s="216"/>
      <c r="EFF33" s="216"/>
      <c r="EFG33" s="216"/>
      <c r="EFH33" s="216"/>
      <c r="EFI33" s="216"/>
      <c r="EFJ33" s="216"/>
      <c r="EFK33" s="216"/>
      <c r="EFL33" s="216"/>
      <c r="EFM33" s="216"/>
      <c r="EFN33" s="216"/>
      <c r="EFO33" s="216"/>
      <c r="EFP33" s="216"/>
      <c r="EFQ33" s="216"/>
      <c r="EFR33" s="216"/>
      <c r="EFS33" s="216"/>
      <c r="EFT33" s="216"/>
      <c r="EFU33" s="216"/>
      <c r="EFV33" s="216"/>
      <c r="EFW33" s="216"/>
      <c r="EFX33" s="216"/>
      <c r="EFY33" s="216"/>
      <c r="EFZ33" s="216"/>
      <c r="EGA33" s="216"/>
      <c r="EGB33" s="216"/>
      <c r="EGC33" s="216"/>
      <c r="EGD33" s="216"/>
      <c r="EGE33" s="216"/>
      <c r="EGF33" s="216"/>
      <c r="EGG33" s="216"/>
      <c r="EGH33" s="216"/>
      <c r="EGI33" s="216"/>
      <c r="EGJ33" s="216"/>
      <c r="EGK33" s="216"/>
      <c r="EGL33" s="216"/>
      <c r="EGM33" s="216"/>
      <c r="EGN33" s="216"/>
      <c r="EGO33" s="216"/>
      <c r="EGP33" s="216"/>
      <c r="EGQ33" s="216"/>
      <c r="EGR33" s="216"/>
      <c r="EGS33" s="216"/>
      <c r="EGT33" s="216"/>
      <c r="EGU33" s="216"/>
      <c r="EGV33" s="216"/>
      <c r="EGW33" s="216"/>
      <c r="EGX33" s="216"/>
      <c r="EGY33" s="216"/>
      <c r="EGZ33" s="216"/>
      <c r="EHA33" s="216"/>
      <c r="EHB33" s="216"/>
      <c r="EHC33" s="216"/>
      <c r="EHD33" s="216"/>
      <c r="EHE33" s="216"/>
      <c r="EHF33" s="216"/>
      <c r="EHG33" s="216"/>
      <c r="EHH33" s="216"/>
      <c r="EHI33" s="216"/>
      <c r="EHJ33" s="216"/>
      <c r="EHK33" s="216"/>
      <c r="EHL33" s="216"/>
      <c r="EHM33" s="216"/>
      <c r="EHN33" s="216"/>
      <c r="EHO33" s="216"/>
      <c r="EHP33" s="216"/>
      <c r="EHQ33" s="216"/>
      <c r="EHR33" s="216"/>
      <c r="EHS33" s="216"/>
      <c r="EHT33" s="216"/>
      <c r="EHU33" s="216"/>
      <c r="EHV33" s="216"/>
      <c r="EHW33" s="216"/>
      <c r="EHX33" s="216"/>
      <c r="EHY33" s="216"/>
      <c r="EHZ33" s="216"/>
      <c r="EIA33" s="216"/>
      <c r="EIB33" s="216"/>
      <c r="EIC33" s="216"/>
      <c r="EID33" s="216"/>
      <c r="EIE33" s="216"/>
      <c r="EIF33" s="216"/>
      <c r="EIG33" s="216"/>
      <c r="EIH33" s="216"/>
      <c r="EII33" s="216"/>
      <c r="EIJ33" s="216"/>
      <c r="EIK33" s="216"/>
      <c r="EIL33" s="216"/>
      <c r="EIM33" s="216"/>
      <c r="EIN33" s="216"/>
      <c r="EIO33" s="216"/>
      <c r="EIP33" s="216"/>
      <c r="EIQ33" s="216"/>
      <c r="EIR33" s="216"/>
      <c r="EIS33" s="216"/>
      <c r="EIT33" s="216"/>
      <c r="EIU33" s="216"/>
      <c r="EIV33" s="216"/>
      <c r="EIW33" s="216"/>
      <c r="EIX33" s="216"/>
      <c r="EIY33" s="216"/>
      <c r="EIZ33" s="216"/>
      <c r="EJA33" s="216"/>
      <c r="EJB33" s="216"/>
      <c r="EJC33" s="216"/>
      <c r="EJD33" s="216"/>
      <c r="EJE33" s="216"/>
      <c r="EJF33" s="216"/>
      <c r="EJG33" s="216"/>
      <c r="EJH33" s="216"/>
      <c r="EJI33" s="216"/>
      <c r="EJJ33" s="216"/>
      <c r="EJK33" s="216"/>
      <c r="EJL33" s="216"/>
      <c r="EJM33" s="216"/>
      <c r="EJN33" s="216"/>
      <c r="EJO33" s="216"/>
      <c r="EJP33" s="216"/>
      <c r="EJQ33" s="216"/>
      <c r="EJR33" s="216"/>
      <c r="EJS33" s="216"/>
      <c r="EJT33" s="216"/>
      <c r="EJU33" s="216"/>
      <c r="EJV33" s="216"/>
      <c r="EJW33" s="216"/>
      <c r="EJX33" s="216"/>
      <c r="EJY33" s="216"/>
      <c r="EJZ33" s="216"/>
      <c r="EKA33" s="216"/>
      <c r="EKB33" s="216"/>
      <c r="EKC33" s="216"/>
      <c r="EKD33" s="216"/>
      <c r="EKE33" s="216"/>
      <c r="EKF33" s="216"/>
      <c r="EKG33" s="216"/>
      <c r="EKH33" s="216"/>
      <c r="EKI33" s="216"/>
      <c r="EKJ33" s="216"/>
      <c r="EKK33" s="216"/>
      <c r="EKL33" s="216"/>
      <c r="EKM33" s="216"/>
      <c r="EKN33" s="216"/>
      <c r="EKO33" s="216"/>
      <c r="EKP33" s="216"/>
      <c r="EKQ33" s="216"/>
      <c r="EKR33" s="216"/>
      <c r="EKS33" s="216"/>
      <c r="EKT33" s="216"/>
      <c r="EKU33" s="216"/>
      <c r="EKV33" s="216"/>
      <c r="EKW33" s="216"/>
      <c r="EKX33" s="216"/>
      <c r="EKY33" s="216"/>
      <c r="EKZ33" s="216"/>
      <c r="ELA33" s="216"/>
      <c r="ELB33" s="216"/>
      <c r="ELC33" s="216"/>
      <c r="ELD33" s="216"/>
      <c r="ELE33" s="216"/>
      <c r="ELF33" s="216"/>
      <c r="ELG33" s="216"/>
      <c r="ELH33" s="216"/>
      <c r="ELI33" s="216"/>
      <c r="ELJ33" s="216"/>
      <c r="ELK33" s="216"/>
      <c r="ELL33" s="216"/>
      <c r="ELM33" s="216"/>
      <c r="ELN33" s="216"/>
      <c r="ELO33" s="216"/>
      <c r="ELP33" s="216"/>
      <c r="ELQ33" s="216"/>
      <c r="ELR33" s="216"/>
      <c r="ELS33" s="216"/>
      <c r="ELT33" s="216"/>
      <c r="ELU33" s="216"/>
      <c r="ELV33" s="216"/>
      <c r="ELW33" s="216"/>
      <c r="ELX33" s="216"/>
      <c r="ELY33" s="216"/>
      <c r="ELZ33" s="216"/>
      <c r="EMA33" s="216"/>
      <c r="EMB33" s="216"/>
      <c r="EMC33" s="216"/>
      <c r="EMD33" s="216"/>
      <c r="EME33" s="216"/>
      <c r="EMF33" s="216"/>
      <c r="EMG33" s="216"/>
      <c r="EMH33" s="216"/>
      <c r="EMI33" s="216"/>
      <c r="EMJ33" s="216"/>
      <c r="EMK33" s="216"/>
      <c r="EML33" s="216"/>
      <c r="EMM33" s="216"/>
      <c r="EMN33" s="216"/>
      <c r="EMO33" s="216"/>
      <c r="EMP33" s="216"/>
      <c r="EMQ33" s="216"/>
      <c r="EMR33" s="216"/>
      <c r="EMS33" s="216"/>
      <c r="EMT33" s="216"/>
      <c r="EMU33" s="216"/>
      <c r="EMV33" s="216"/>
      <c r="EMW33" s="216"/>
      <c r="EMX33" s="216"/>
      <c r="EMY33" s="216"/>
      <c r="EMZ33" s="216"/>
      <c r="ENA33" s="216"/>
      <c r="ENB33" s="216"/>
      <c r="ENC33" s="216"/>
      <c r="END33" s="216"/>
      <c r="ENE33" s="216"/>
      <c r="ENF33" s="216"/>
      <c r="ENG33" s="216"/>
      <c r="ENH33" s="216"/>
      <c r="ENI33" s="216"/>
      <c r="ENJ33" s="216"/>
      <c r="ENK33" s="216"/>
      <c r="ENL33" s="216"/>
      <c r="ENM33" s="216"/>
      <c r="ENN33" s="216"/>
      <c r="ENO33" s="216"/>
      <c r="ENP33" s="216"/>
      <c r="ENQ33" s="216"/>
      <c r="ENR33" s="216"/>
      <c r="ENS33" s="216"/>
      <c r="ENT33" s="216"/>
      <c r="ENU33" s="216"/>
      <c r="ENV33" s="216"/>
      <c r="ENW33" s="216"/>
      <c r="ENX33" s="216"/>
      <c r="ENY33" s="216"/>
      <c r="ENZ33" s="216"/>
      <c r="EOA33" s="216"/>
      <c r="EOB33" s="216"/>
      <c r="EOC33" s="216"/>
      <c r="EOD33" s="216"/>
      <c r="EOE33" s="216"/>
      <c r="EOF33" s="216"/>
      <c r="EOG33" s="216"/>
      <c r="EOH33" s="216"/>
      <c r="EOI33" s="216"/>
      <c r="EOJ33" s="216"/>
      <c r="EOK33" s="216"/>
      <c r="EOL33" s="216"/>
      <c r="EOM33" s="216"/>
      <c r="EON33" s="216"/>
      <c r="EOO33" s="216"/>
      <c r="EOP33" s="216"/>
      <c r="EOQ33" s="216"/>
      <c r="EOR33" s="216"/>
      <c r="EOS33" s="216"/>
      <c r="EOT33" s="216"/>
      <c r="EOU33" s="216"/>
      <c r="EOV33" s="216"/>
      <c r="EOW33" s="216"/>
      <c r="EOX33" s="216"/>
      <c r="EOY33" s="216"/>
      <c r="EOZ33" s="216"/>
      <c r="EPA33" s="216"/>
      <c r="EPB33" s="216"/>
      <c r="EPC33" s="216"/>
      <c r="EPD33" s="216"/>
      <c r="EPE33" s="216"/>
      <c r="EPF33" s="216"/>
      <c r="EPG33" s="216"/>
      <c r="EPH33" s="216"/>
      <c r="EPI33" s="216"/>
      <c r="EPJ33" s="216"/>
      <c r="EPK33" s="216"/>
      <c r="EPL33" s="216"/>
      <c r="EPM33" s="216"/>
      <c r="EPN33" s="216"/>
      <c r="EPO33" s="216"/>
      <c r="EPP33" s="216"/>
      <c r="EPQ33" s="216"/>
      <c r="EPR33" s="216"/>
      <c r="EPS33" s="216"/>
      <c r="EPT33" s="216"/>
      <c r="EPU33" s="216"/>
      <c r="EPV33" s="216"/>
      <c r="EPW33" s="216"/>
      <c r="EPX33" s="216"/>
      <c r="EPY33" s="216"/>
      <c r="EPZ33" s="216"/>
      <c r="EQA33" s="216"/>
      <c r="EQB33" s="216"/>
      <c r="EQC33" s="216"/>
      <c r="EQD33" s="216"/>
      <c r="EQE33" s="216"/>
      <c r="EQF33" s="216"/>
      <c r="EQG33" s="216"/>
      <c r="EQH33" s="216"/>
      <c r="EQI33" s="216"/>
      <c r="EQJ33" s="216"/>
      <c r="EQK33" s="216"/>
      <c r="EQL33" s="216"/>
      <c r="EQM33" s="216"/>
      <c r="EQN33" s="216"/>
      <c r="EQO33" s="216"/>
      <c r="EQP33" s="216"/>
      <c r="EQQ33" s="216"/>
      <c r="EQR33" s="216"/>
      <c r="EQS33" s="216"/>
      <c r="EQT33" s="216"/>
      <c r="EQU33" s="216"/>
      <c r="EQV33" s="216"/>
      <c r="EQW33" s="216"/>
      <c r="EQX33" s="216"/>
      <c r="EQY33" s="216"/>
      <c r="EQZ33" s="216"/>
      <c r="ERA33" s="216"/>
      <c r="ERB33" s="216"/>
      <c r="ERC33" s="216"/>
      <c r="ERD33" s="216"/>
      <c r="ERE33" s="216"/>
      <c r="ERF33" s="216"/>
      <c r="ERG33" s="216"/>
      <c r="ERH33" s="216"/>
      <c r="ERI33" s="216"/>
      <c r="ERJ33" s="216"/>
      <c r="ERK33" s="216"/>
      <c r="ERL33" s="216"/>
      <c r="ERM33" s="216"/>
      <c r="ERN33" s="216"/>
      <c r="ERO33" s="216"/>
      <c r="ERP33" s="216"/>
      <c r="ERQ33" s="216"/>
      <c r="ERR33" s="216"/>
      <c r="ERS33" s="216"/>
      <c r="ERT33" s="216"/>
      <c r="ERU33" s="216"/>
      <c r="ERV33" s="216"/>
      <c r="ERW33" s="216"/>
      <c r="ERX33" s="216"/>
      <c r="ERY33" s="216"/>
      <c r="ERZ33" s="216"/>
      <c r="ESA33" s="216"/>
      <c r="ESB33" s="216"/>
      <c r="ESC33" s="216"/>
      <c r="ESD33" s="216"/>
      <c r="ESE33" s="216"/>
      <c r="ESF33" s="216"/>
      <c r="ESG33" s="216"/>
      <c r="ESH33" s="216"/>
      <c r="ESI33" s="216"/>
      <c r="ESJ33" s="216"/>
      <c r="ESK33" s="216"/>
      <c r="ESL33" s="216"/>
      <c r="ESM33" s="216"/>
      <c r="ESN33" s="216"/>
      <c r="ESO33" s="216"/>
      <c r="ESP33" s="216"/>
      <c r="ESQ33" s="216"/>
      <c r="ESR33" s="216"/>
      <c r="ESS33" s="216"/>
      <c r="EST33" s="216"/>
      <c r="ESU33" s="216"/>
      <c r="ESV33" s="216"/>
      <c r="ESW33" s="216"/>
      <c r="ESX33" s="216"/>
      <c r="ESY33" s="216"/>
      <c r="ESZ33" s="216"/>
      <c r="ETA33" s="216"/>
      <c r="ETB33" s="216"/>
      <c r="ETC33" s="216"/>
      <c r="ETD33" s="216"/>
      <c r="ETE33" s="216"/>
      <c r="ETF33" s="216"/>
      <c r="ETG33" s="216"/>
      <c r="ETH33" s="216"/>
      <c r="ETI33" s="216"/>
      <c r="ETJ33" s="216"/>
      <c r="ETK33" s="216"/>
      <c r="ETL33" s="216"/>
      <c r="ETM33" s="216"/>
      <c r="ETN33" s="216"/>
      <c r="ETO33" s="216"/>
      <c r="ETP33" s="216"/>
      <c r="ETQ33" s="216"/>
      <c r="ETR33" s="216"/>
      <c r="ETS33" s="216"/>
      <c r="ETT33" s="216"/>
      <c r="ETU33" s="216"/>
      <c r="ETV33" s="216"/>
      <c r="ETW33" s="216"/>
      <c r="ETX33" s="216"/>
      <c r="ETY33" s="216"/>
      <c r="ETZ33" s="216"/>
      <c r="EUA33" s="216"/>
      <c r="EUB33" s="216"/>
      <c r="EUC33" s="216"/>
      <c r="EUD33" s="216"/>
      <c r="EUE33" s="216"/>
      <c r="EUF33" s="216"/>
      <c r="EUG33" s="216"/>
      <c r="EUH33" s="216"/>
      <c r="EUI33" s="216"/>
      <c r="EUJ33" s="216"/>
      <c r="EUK33" s="216"/>
      <c r="EUL33" s="216"/>
      <c r="EUM33" s="216"/>
      <c r="EUN33" s="216"/>
      <c r="EUO33" s="216"/>
      <c r="EUP33" s="216"/>
      <c r="EUQ33" s="216"/>
      <c r="EUR33" s="216"/>
      <c r="EUS33" s="216"/>
      <c r="EUT33" s="216"/>
      <c r="EUU33" s="216"/>
      <c r="EUV33" s="216"/>
      <c r="EUW33" s="216"/>
      <c r="EUX33" s="216"/>
      <c r="EUY33" s="216"/>
      <c r="EUZ33" s="216"/>
      <c r="EVA33" s="216"/>
      <c r="EVB33" s="216"/>
      <c r="EVC33" s="216"/>
      <c r="EVD33" s="216"/>
      <c r="EVE33" s="216"/>
      <c r="EVF33" s="216"/>
      <c r="EVG33" s="216"/>
      <c r="EVH33" s="216"/>
      <c r="EVI33" s="216"/>
      <c r="EVJ33" s="216"/>
      <c r="EVK33" s="216"/>
      <c r="EVL33" s="216"/>
      <c r="EVM33" s="216"/>
      <c r="EVN33" s="216"/>
      <c r="EVO33" s="216"/>
      <c r="EVP33" s="216"/>
      <c r="EVQ33" s="216"/>
      <c r="EVR33" s="216"/>
      <c r="EVS33" s="216"/>
      <c r="EVT33" s="216"/>
      <c r="EVU33" s="216"/>
      <c r="EVV33" s="216"/>
      <c r="EVW33" s="216"/>
      <c r="EVX33" s="216"/>
      <c r="EVY33" s="216"/>
      <c r="EVZ33" s="216"/>
      <c r="EWA33" s="216"/>
      <c r="EWB33" s="216"/>
      <c r="EWC33" s="216"/>
      <c r="EWD33" s="216"/>
      <c r="EWE33" s="216"/>
      <c r="EWF33" s="216"/>
      <c r="EWG33" s="216"/>
      <c r="EWH33" s="216"/>
      <c r="EWI33" s="216"/>
      <c r="EWJ33" s="216"/>
      <c r="EWK33" s="216"/>
      <c r="EWL33" s="216"/>
      <c r="EWM33" s="216"/>
      <c r="EWN33" s="216"/>
      <c r="EWO33" s="216"/>
      <c r="EWP33" s="216"/>
      <c r="EWQ33" s="216"/>
      <c r="EWR33" s="216"/>
      <c r="EWS33" s="216"/>
      <c r="EWT33" s="216"/>
      <c r="EWU33" s="216"/>
      <c r="EWV33" s="216"/>
      <c r="EWW33" s="216"/>
      <c r="EWX33" s="216"/>
      <c r="EWY33" s="216"/>
      <c r="EWZ33" s="216"/>
      <c r="EXA33" s="216"/>
      <c r="EXB33" s="216"/>
      <c r="EXC33" s="216"/>
      <c r="EXD33" s="216"/>
      <c r="EXE33" s="216"/>
      <c r="EXF33" s="216"/>
      <c r="EXG33" s="216"/>
      <c r="EXH33" s="216"/>
      <c r="EXI33" s="216"/>
      <c r="EXJ33" s="216"/>
      <c r="EXK33" s="216"/>
      <c r="EXL33" s="216"/>
      <c r="EXM33" s="216"/>
      <c r="EXN33" s="216"/>
      <c r="EXO33" s="216"/>
      <c r="EXP33" s="216"/>
      <c r="EXQ33" s="216"/>
      <c r="EXR33" s="216"/>
      <c r="EXS33" s="216"/>
      <c r="EXT33" s="216"/>
      <c r="EXU33" s="216"/>
      <c r="EXV33" s="216"/>
      <c r="EXW33" s="216"/>
      <c r="EXX33" s="216"/>
      <c r="EXY33" s="216"/>
      <c r="EXZ33" s="216"/>
      <c r="EYA33" s="216"/>
      <c r="EYB33" s="216"/>
      <c r="EYC33" s="216"/>
      <c r="EYD33" s="216"/>
      <c r="EYE33" s="216"/>
      <c r="EYF33" s="216"/>
      <c r="EYG33" s="216"/>
      <c r="EYH33" s="216"/>
      <c r="EYI33" s="216"/>
      <c r="EYJ33" s="216"/>
      <c r="EYK33" s="216"/>
      <c r="EYL33" s="216"/>
      <c r="EYM33" s="216"/>
      <c r="EYN33" s="216"/>
      <c r="EYO33" s="216"/>
      <c r="EYP33" s="216"/>
      <c r="EYQ33" s="216"/>
      <c r="EYR33" s="216"/>
      <c r="EYS33" s="216"/>
      <c r="EYT33" s="216"/>
      <c r="EYU33" s="216"/>
      <c r="EYV33" s="216"/>
      <c r="EYW33" s="216"/>
      <c r="EYX33" s="216"/>
      <c r="EYY33" s="216"/>
      <c r="EYZ33" s="216"/>
      <c r="EZA33" s="216"/>
      <c r="EZB33" s="216"/>
      <c r="EZC33" s="216"/>
      <c r="EZD33" s="216"/>
      <c r="EZE33" s="216"/>
      <c r="EZF33" s="216"/>
      <c r="EZG33" s="216"/>
      <c r="EZH33" s="216"/>
      <c r="EZI33" s="216"/>
      <c r="EZJ33" s="216"/>
      <c r="EZK33" s="216"/>
      <c r="EZL33" s="216"/>
      <c r="EZM33" s="216"/>
      <c r="EZN33" s="216"/>
      <c r="EZO33" s="216"/>
      <c r="EZP33" s="216"/>
      <c r="EZQ33" s="216"/>
      <c r="EZR33" s="216"/>
      <c r="EZS33" s="216"/>
      <c r="EZT33" s="216"/>
      <c r="EZU33" s="216"/>
      <c r="EZV33" s="216"/>
      <c r="EZW33" s="216"/>
      <c r="EZX33" s="216"/>
      <c r="EZY33" s="216"/>
      <c r="EZZ33" s="216"/>
      <c r="FAA33" s="216"/>
      <c r="FAB33" s="216"/>
      <c r="FAC33" s="216"/>
      <c r="FAD33" s="216"/>
      <c r="FAE33" s="216"/>
      <c r="FAF33" s="216"/>
      <c r="FAG33" s="216"/>
      <c r="FAH33" s="216"/>
      <c r="FAI33" s="216"/>
      <c r="FAJ33" s="216"/>
      <c r="FAK33" s="216"/>
      <c r="FAL33" s="216"/>
      <c r="FAM33" s="216"/>
      <c r="FAN33" s="216"/>
      <c r="FAO33" s="216"/>
      <c r="FAP33" s="216"/>
      <c r="FAQ33" s="216"/>
      <c r="FAR33" s="216"/>
      <c r="FAS33" s="216"/>
      <c r="FAT33" s="216"/>
      <c r="FAU33" s="216"/>
      <c r="FAV33" s="216"/>
      <c r="FAW33" s="216"/>
      <c r="FAX33" s="216"/>
      <c r="FAY33" s="216"/>
      <c r="FAZ33" s="216"/>
      <c r="FBA33" s="216"/>
      <c r="FBB33" s="216"/>
      <c r="FBC33" s="216"/>
      <c r="FBD33" s="216"/>
      <c r="FBE33" s="216"/>
      <c r="FBF33" s="216"/>
      <c r="FBG33" s="216"/>
      <c r="FBH33" s="216"/>
      <c r="FBI33" s="216"/>
      <c r="FBJ33" s="216"/>
      <c r="FBK33" s="216"/>
      <c r="FBL33" s="216"/>
      <c r="FBM33" s="216"/>
      <c r="FBN33" s="216"/>
      <c r="FBO33" s="216"/>
      <c r="FBP33" s="216"/>
      <c r="FBQ33" s="216"/>
      <c r="FBR33" s="216"/>
      <c r="FBS33" s="216"/>
      <c r="FBT33" s="216"/>
      <c r="FBU33" s="216"/>
      <c r="FBV33" s="216"/>
      <c r="FBW33" s="216"/>
      <c r="FBX33" s="216"/>
      <c r="FBY33" s="216"/>
      <c r="FBZ33" s="216"/>
      <c r="FCA33" s="216"/>
      <c r="FCB33" s="216"/>
      <c r="FCC33" s="216"/>
      <c r="FCD33" s="216"/>
      <c r="FCE33" s="216"/>
      <c r="FCF33" s="216"/>
      <c r="FCG33" s="216"/>
      <c r="FCH33" s="216"/>
      <c r="FCI33" s="216"/>
      <c r="FCJ33" s="216"/>
      <c r="FCK33" s="216"/>
      <c r="FCL33" s="216"/>
      <c r="FCM33" s="216"/>
      <c r="FCN33" s="216"/>
      <c r="FCO33" s="216"/>
      <c r="FCP33" s="216"/>
      <c r="FCQ33" s="216"/>
      <c r="FCR33" s="216"/>
      <c r="FCS33" s="216"/>
      <c r="FCT33" s="216"/>
      <c r="FCU33" s="216"/>
      <c r="FCV33" s="216"/>
      <c r="FCW33" s="216"/>
      <c r="FCX33" s="216"/>
      <c r="FCY33" s="216"/>
      <c r="FCZ33" s="216"/>
      <c r="FDA33" s="216"/>
      <c r="FDB33" s="216"/>
      <c r="FDC33" s="216"/>
      <c r="FDD33" s="216"/>
      <c r="FDE33" s="216"/>
      <c r="FDF33" s="216"/>
      <c r="FDG33" s="216"/>
      <c r="FDH33" s="216"/>
      <c r="FDI33" s="216"/>
      <c r="FDJ33" s="216"/>
      <c r="FDK33" s="216"/>
      <c r="FDL33" s="216"/>
      <c r="FDM33" s="216"/>
      <c r="FDN33" s="216"/>
      <c r="FDO33" s="216"/>
      <c r="FDP33" s="216"/>
      <c r="FDQ33" s="216"/>
      <c r="FDR33" s="216"/>
      <c r="FDS33" s="216"/>
      <c r="FDT33" s="216"/>
      <c r="FDU33" s="216"/>
      <c r="FDV33" s="216"/>
      <c r="FDW33" s="216"/>
      <c r="FDX33" s="216"/>
      <c r="FDY33" s="216"/>
      <c r="FDZ33" s="216"/>
      <c r="FEA33" s="216"/>
      <c r="FEB33" s="216"/>
      <c r="FEC33" s="216"/>
      <c r="FED33" s="216"/>
      <c r="FEE33" s="216"/>
      <c r="FEF33" s="216"/>
      <c r="FEG33" s="216"/>
      <c r="FEH33" s="216"/>
      <c r="FEI33" s="216"/>
      <c r="FEJ33" s="216"/>
      <c r="FEK33" s="216"/>
      <c r="FEL33" s="216"/>
      <c r="FEM33" s="216"/>
      <c r="FEN33" s="216"/>
      <c r="FEO33" s="216"/>
      <c r="FEP33" s="216"/>
      <c r="FEQ33" s="216"/>
      <c r="FER33" s="216"/>
      <c r="FES33" s="216"/>
      <c r="FET33" s="216"/>
      <c r="FEU33" s="216"/>
      <c r="FEV33" s="216"/>
      <c r="FEW33" s="216"/>
      <c r="FEX33" s="216"/>
      <c r="FEY33" s="216"/>
      <c r="FEZ33" s="216"/>
      <c r="FFA33" s="216"/>
      <c r="FFB33" s="216"/>
      <c r="FFC33" s="216"/>
      <c r="FFD33" s="216"/>
      <c r="FFE33" s="216"/>
      <c r="FFF33" s="216"/>
      <c r="FFG33" s="216"/>
      <c r="FFH33" s="216"/>
      <c r="FFI33" s="216"/>
      <c r="FFJ33" s="216"/>
      <c r="FFK33" s="216"/>
      <c r="FFL33" s="216"/>
      <c r="FFM33" s="216"/>
      <c r="FFN33" s="216"/>
      <c r="FFO33" s="216"/>
      <c r="FFP33" s="216"/>
      <c r="FFQ33" s="216"/>
      <c r="FFR33" s="216"/>
      <c r="FFS33" s="216"/>
      <c r="FFT33" s="216"/>
      <c r="FFU33" s="216"/>
      <c r="FFV33" s="216"/>
      <c r="FFW33" s="216"/>
      <c r="FFX33" s="216"/>
      <c r="FFY33" s="216"/>
      <c r="FFZ33" s="216"/>
      <c r="FGA33" s="216"/>
      <c r="FGB33" s="216"/>
      <c r="FGC33" s="216"/>
      <c r="FGD33" s="216"/>
      <c r="FGE33" s="216"/>
      <c r="FGF33" s="216"/>
      <c r="FGG33" s="216"/>
      <c r="FGH33" s="216"/>
      <c r="FGI33" s="216"/>
      <c r="FGJ33" s="216"/>
      <c r="FGK33" s="216"/>
      <c r="FGL33" s="216"/>
      <c r="FGM33" s="216"/>
      <c r="FGN33" s="216"/>
      <c r="FGO33" s="216"/>
      <c r="FGP33" s="216"/>
      <c r="FGQ33" s="216"/>
      <c r="FGR33" s="216"/>
      <c r="FGS33" s="216"/>
      <c r="FGT33" s="216"/>
      <c r="FGU33" s="216"/>
      <c r="FGV33" s="216"/>
      <c r="FGW33" s="216"/>
      <c r="FGX33" s="216"/>
      <c r="FGY33" s="216"/>
      <c r="FGZ33" s="216"/>
      <c r="FHA33" s="216"/>
      <c r="FHB33" s="216"/>
      <c r="FHC33" s="216"/>
      <c r="FHD33" s="216"/>
      <c r="FHE33" s="216"/>
      <c r="FHF33" s="216"/>
      <c r="FHG33" s="216"/>
      <c r="FHH33" s="216"/>
      <c r="FHI33" s="216"/>
      <c r="FHJ33" s="216"/>
      <c r="FHK33" s="216"/>
      <c r="FHL33" s="216"/>
      <c r="FHM33" s="216"/>
      <c r="FHN33" s="216"/>
      <c r="FHO33" s="216"/>
      <c r="FHP33" s="216"/>
      <c r="FHQ33" s="216"/>
      <c r="FHR33" s="216"/>
      <c r="FHS33" s="216"/>
      <c r="FHT33" s="216"/>
      <c r="FHU33" s="216"/>
      <c r="FHV33" s="216"/>
      <c r="FHW33" s="216"/>
      <c r="FHX33" s="216"/>
      <c r="FHY33" s="216"/>
      <c r="FHZ33" s="216"/>
      <c r="FIA33" s="216"/>
      <c r="FIB33" s="216"/>
      <c r="FIC33" s="216"/>
      <c r="FID33" s="216"/>
      <c r="FIE33" s="216"/>
      <c r="FIF33" s="216"/>
      <c r="FIG33" s="216"/>
      <c r="FIH33" s="216"/>
      <c r="FII33" s="216"/>
      <c r="FIJ33" s="216"/>
      <c r="FIK33" s="216"/>
      <c r="FIL33" s="216"/>
      <c r="FIM33" s="216"/>
      <c r="FIN33" s="216"/>
      <c r="FIO33" s="216"/>
      <c r="FIP33" s="216"/>
      <c r="FIQ33" s="216"/>
      <c r="FIR33" s="216"/>
      <c r="FIS33" s="216"/>
      <c r="FIT33" s="216"/>
      <c r="FIU33" s="216"/>
      <c r="FIV33" s="216"/>
      <c r="FIW33" s="216"/>
      <c r="FIX33" s="216"/>
      <c r="FIY33" s="216"/>
      <c r="FIZ33" s="216"/>
      <c r="FJA33" s="216"/>
      <c r="FJB33" s="216"/>
      <c r="FJC33" s="216"/>
      <c r="FJD33" s="216"/>
      <c r="FJE33" s="216"/>
      <c r="FJF33" s="216"/>
      <c r="FJG33" s="216"/>
      <c r="FJH33" s="216"/>
      <c r="FJI33" s="216"/>
      <c r="FJJ33" s="216"/>
      <c r="FJK33" s="216"/>
      <c r="FJL33" s="216"/>
      <c r="FJM33" s="216"/>
      <c r="FJN33" s="216"/>
      <c r="FJO33" s="216"/>
      <c r="FJP33" s="216"/>
      <c r="FJQ33" s="216"/>
      <c r="FJR33" s="216"/>
      <c r="FJS33" s="216"/>
      <c r="FJT33" s="216"/>
      <c r="FJU33" s="216"/>
      <c r="FJV33" s="216"/>
      <c r="FJW33" s="216"/>
      <c r="FJX33" s="216"/>
      <c r="FJY33" s="216"/>
      <c r="FJZ33" s="216"/>
      <c r="FKA33" s="216"/>
      <c r="FKB33" s="216"/>
      <c r="FKC33" s="216"/>
      <c r="FKD33" s="216"/>
      <c r="FKE33" s="216"/>
      <c r="FKF33" s="216"/>
      <c r="FKG33" s="216"/>
      <c r="FKH33" s="216"/>
      <c r="FKI33" s="216"/>
      <c r="FKJ33" s="216"/>
      <c r="FKK33" s="216"/>
      <c r="FKL33" s="216"/>
      <c r="FKM33" s="216"/>
      <c r="FKN33" s="216"/>
      <c r="FKO33" s="216"/>
      <c r="FKP33" s="216"/>
      <c r="FKQ33" s="216"/>
      <c r="FKR33" s="216"/>
      <c r="FKS33" s="216"/>
      <c r="FKT33" s="216"/>
      <c r="FKU33" s="216"/>
      <c r="FKV33" s="216"/>
      <c r="FKW33" s="216"/>
      <c r="FKX33" s="216"/>
      <c r="FKY33" s="216"/>
      <c r="FKZ33" s="216"/>
      <c r="FLA33" s="216"/>
      <c r="FLB33" s="216"/>
      <c r="FLC33" s="216"/>
      <c r="FLD33" s="216"/>
      <c r="FLE33" s="216"/>
      <c r="FLF33" s="216"/>
      <c r="FLG33" s="216"/>
      <c r="FLH33" s="216"/>
      <c r="FLI33" s="216"/>
      <c r="FLJ33" s="216"/>
      <c r="FLK33" s="216"/>
      <c r="FLL33" s="216"/>
      <c r="FLM33" s="216"/>
      <c r="FLN33" s="216"/>
      <c r="FLO33" s="216"/>
      <c r="FLP33" s="216"/>
      <c r="FLQ33" s="216"/>
      <c r="FLR33" s="216"/>
      <c r="FLS33" s="216"/>
      <c r="FLT33" s="216"/>
      <c r="FLU33" s="216"/>
      <c r="FLV33" s="216"/>
      <c r="FLW33" s="216"/>
      <c r="FLX33" s="216"/>
      <c r="FLY33" s="216"/>
      <c r="FLZ33" s="216"/>
      <c r="FMA33" s="216"/>
      <c r="FMB33" s="216"/>
      <c r="FMC33" s="216"/>
      <c r="FMD33" s="216"/>
      <c r="FME33" s="216"/>
      <c r="FMF33" s="216"/>
      <c r="FMG33" s="216"/>
      <c r="FMH33" s="216"/>
      <c r="FMI33" s="216"/>
      <c r="FMJ33" s="216"/>
      <c r="FMK33" s="216"/>
      <c r="FML33" s="216"/>
      <c r="FMM33" s="216"/>
      <c r="FMN33" s="216"/>
      <c r="FMO33" s="216"/>
      <c r="FMP33" s="216"/>
      <c r="FMQ33" s="216"/>
      <c r="FMR33" s="216"/>
      <c r="FMS33" s="216"/>
      <c r="FMT33" s="216"/>
      <c r="FMU33" s="216"/>
      <c r="FMV33" s="216"/>
      <c r="FMW33" s="216"/>
      <c r="FMX33" s="216"/>
      <c r="FMY33" s="216"/>
      <c r="FMZ33" s="216"/>
      <c r="FNA33" s="216"/>
      <c r="FNB33" s="216"/>
      <c r="FNC33" s="216"/>
      <c r="FND33" s="216"/>
      <c r="FNE33" s="216"/>
      <c r="FNF33" s="216"/>
      <c r="FNG33" s="216"/>
      <c r="FNH33" s="216"/>
      <c r="FNI33" s="216"/>
      <c r="FNJ33" s="216"/>
      <c r="FNK33" s="216"/>
      <c r="FNL33" s="216"/>
      <c r="FNM33" s="216"/>
      <c r="FNN33" s="216"/>
      <c r="FNO33" s="216"/>
      <c r="FNP33" s="216"/>
      <c r="FNQ33" s="216"/>
      <c r="FNR33" s="216"/>
      <c r="FNS33" s="216"/>
      <c r="FNT33" s="216"/>
      <c r="FNU33" s="216"/>
      <c r="FNV33" s="216"/>
      <c r="FNW33" s="216"/>
      <c r="FNX33" s="216"/>
      <c r="FNY33" s="216"/>
      <c r="FNZ33" s="216"/>
      <c r="FOA33" s="216"/>
      <c r="FOB33" s="216"/>
      <c r="FOC33" s="216"/>
      <c r="FOD33" s="216"/>
      <c r="FOE33" s="216"/>
      <c r="FOF33" s="216"/>
      <c r="FOG33" s="216"/>
      <c r="FOH33" s="216"/>
      <c r="FOI33" s="216"/>
      <c r="FOJ33" s="216"/>
      <c r="FOK33" s="216"/>
      <c r="FOL33" s="216"/>
      <c r="FOM33" s="216"/>
      <c r="FON33" s="216"/>
      <c r="FOO33" s="216"/>
      <c r="FOP33" s="216"/>
      <c r="FOQ33" s="216"/>
      <c r="FOR33" s="216"/>
      <c r="FOS33" s="216"/>
      <c r="FOT33" s="216"/>
      <c r="FOU33" s="216"/>
      <c r="FOV33" s="216"/>
      <c r="FOW33" s="216"/>
      <c r="FOX33" s="216"/>
      <c r="FOY33" s="216"/>
      <c r="FOZ33" s="216"/>
      <c r="FPA33" s="216"/>
      <c r="FPB33" s="216"/>
      <c r="FPC33" s="216"/>
      <c r="FPD33" s="216"/>
      <c r="FPE33" s="216"/>
      <c r="FPF33" s="216"/>
      <c r="FPG33" s="216"/>
      <c r="FPH33" s="216"/>
      <c r="FPI33" s="216"/>
      <c r="FPJ33" s="216"/>
      <c r="FPK33" s="216"/>
      <c r="FPL33" s="216"/>
      <c r="FPM33" s="216"/>
      <c r="FPN33" s="216"/>
      <c r="FPO33" s="216"/>
      <c r="FPP33" s="216"/>
      <c r="FPQ33" s="216"/>
      <c r="FPR33" s="216"/>
      <c r="FPS33" s="216"/>
      <c r="FPT33" s="216"/>
      <c r="FPU33" s="216"/>
      <c r="FPV33" s="216"/>
      <c r="FPW33" s="216"/>
      <c r="FPX33" s="216"/>
      <c r="FPY33" s="216"/>
      <c r="FPZ33" s="216"/>
      <c r="FQA33" s="216"/>
      <c r="FQB33" s="216"/>
      <c r="FQC33" s="216"/>
      <c r="FQD33" s="216"/>
      <c r="FQE33" s="216"/>
      <c r="FQF33" s="216"/>
      <c r="FQG33" s="216"/>
      <c r="FQH33" s="216"/>
      <c r="FQI33" s="216"/>
      <c r="FQJ33" s="216"/>
      <c r="FQK33" s="216"/>
      <c r="FQL33" s="216"/>
      <c r="FQM33" s="216"/>
      <c r="FQN33" s="216"/>
      <c r="FQO33" s="216"/>
      <c r="FQP33" s="216"/>
      <c r="FQQ33" s="216"/>
      <c r="FQR33" s="216"/>
      <c r="FQS33" s="216"/>
      <c r="FQT33" s="216"/>
      <c r="FQU33" s="216"/>
      <c r="FQV33" s="216"/>
      <c r="FQW33" s="216"/>
      <c r="FQX33" s="216"/>
      <c r="FQY33" s="216"/>
      <c r="FQZ33" s="216"/>
      <c r="FRA33" s="216"/>
      <c r="FRB33" s="216"/>
      <c r="FRC33" s="216"/>
      <c r="FRD33" s="216"/>
      <c r="FRE33" s="216"/>
      <c r="FRF33" s="216"/>
      <c r="FRG33" s="216"/>
      <c r="FRH33" s="216"/>
      <c r="FRI33" s="216"/>
      <c r="FRJ33" s="216"/>
      <c r="FRK33" s="216"/>
      <c r="FRL33" s="216"/>
      <c r="FRM33" s="216"/>
      <c r="FRN33" s="216"/>
      <c r="FRO33" s="216"/>
      <c r="FRP33" s="216"/>
      <c r="FRQ33" s="216"/>
      <c r="FRR33" s="216"/>
      <c r="FRS33" s="216"/>
      <c r="FRT33" s="216"/>
      <c r="FRU33" s="216"/>
      <c r="FRV33" s="216"/>
      <c r="FRW33" s="216"/>
      <c r="FRX33" s="216"/>
      <c r="FRY33" s="216"/>
      <c r="FRZ33" s="216"/>
      <c r="FSA33" s="216"/>
      <c r="FSB33" s="216"/>
      <c r="FSC33" s="216"/>
      <c r="FSD33" s="216"/>
      <c r="FSE33" s="216"/>
      <c r="FSF33" s="216"/>
      <c r="FSG33" s="216"/>
      <c r="FSH33" s="216"/>
      <c r="FSI33" s="216"/>
      <c r="FSJ33" s="216"/>
      <c r="FSK33" s="216"/>
      <c r="FSL33" s="216"/>
      <c r="FSM33" s="216"/>
      <c r="FSN33" s="216"/>
      <c r="FSO33" s="216"/>
      <c r="FSP33" s="216"/>
      <c r="FSQ33" s="216"/>
      <c r="FSR33" s="216"/>
      <c r="FSS33" s="216"/>
      <c r="FST33" s="216"/>
      <c r="FSU33" s="216"/>
      <c r="FSV33" s="216"/>
      <c r="FSW33" s="216"/>
      <c r="FSX33" s="216"/>
      <c r="FSY33" s="216"/>
      <c r="FSZ33" s="216"/>
      <c r="FTA33" s="216"/>
      <c r="FTB33" s="216"/>
      <c r="FTC33" s="216"/>
      <c r="FTD33" s="216"/>
      <c r="FTE33" s="216"/>
      <c r="FTF33" s="216"/>
      <c r="FTG33" s="216"/>
      <c r="FTH33" s="216"/>
      <c r="FTI33" s="216"/>
      <c r="FTJ33" s="216"/>
      <c r="FTK33" s="216"/>
      <c r="FTL33" s="216"/>
      <c r="FTM33" s="216"/>
      <c r="FTN33" s="216"/>
      <c r="FTO33" s="216"/>
      <c r="FTP33" s="216"/>
      <c r="FTQ33" s="216"/>
      <c r="FTR33" s="216"/>
      <c r="FTS33" s="216"/>
      <c r="FTT33" s="216"/>
      <c r="FTU33" s="216"/>
      <c r="FTV33" s="216"/>
      <c r="FTW33" s="216"/>
      <c r="FTX33" s="216"/>
      <c r="FTY33" s="216"/>
      <c r="FTZ33" s="216"/>
      <c r="FUA33" s="216"/>
      <c r="FUB33" s="216"/>
      <c r="FUC33" s="216"/>
      <c r="FUD33" s="216"/>
      <c r="FUE33" s="216"/>
      <c r="FUF33" s="216"/>
      <c r="FUG33" s="216"/>
      <c r="FUH33" s="216"/>
      <c r="FUI33" s="216"/>
      <c r="FUJ33" s="216"/>
      <c r="FUK33" s="216"/>
      <c r="FUL33" s="216"/>
      <c r="FUM33" s="216"/>
      <c r="FUN33" s="216"/>
      <c r="FUO33" s="216"/>
      <c r="FUP33" s="216"/>
      <c r="FUQ33" s="216"/>
      <c r="FUR33" s="216"/>
      <c r="FUS33" s="216"/>
      <c r="FUT33" s="216"/>
      <c r="FUU33" s="216"/>
      <c r="FUV33" s="216"/>
      <c r="FUW33" s="216"/>
      <c r="FUX33" s="216"/>
      <c r="FUY33" s="216"/>
      <c r="FUZ33" s="216"/>
      <c r="FVA33" s="216"/>
      <c r="FVB33" s="216"/>
      <c r="FVC33" s="216"/>
      <c r="FVD33" s="216"/>
      <c r="FVE33" s="216"/>
      <c r="FVF33" s="216"/>
      <c r="FVG33" s="216"/>
      <c r="FVH33" s="216"/>
      <c r="FVI33" s="216"/>
      <c r="FVJ33" s="216"/>
      <c r="FVK33" s="216"/>
      <c r="FVL33" s="216"/>
      <c r="FVM33" s="216"/>
      <c r="FVN33" s="216"/>
      <c r="FVO33" s="216"/>
      <c r="FVP33" s="216"/>
      <c r="FVQ33" s="216"/>
      <c r="FVR33" s="216"/>
      <c r="FVS33" s="216"/>
      <c r="FVT33" s="216"/>
      <c r="FVU33" s="216"/>
      <c r="FVV33" s="216"/>
      <c r="FVW33" s="216"/>
      <c r="FVX33" s="216"/>
      <c r="FVY33" s="216"/>
      <c r="FVZ33" s="216"/>
      <c r="FWA33" s="216"/>
      <c r="FWB33" s="216"/>
      <c r="FWC33" s="216"/>
      <c r="FWD33" s="216"/>
      <c r="FWE33" s="216"/>
      <c r="FWF33" s="216"/>
      <c r="FWG33" s="216"/>
      <c r="FWH33" s="216"/>
      <c r="FWI33" s="216"/>
      <c r="FWJ33" s="216"/>
      <c r="FWK33" s="216"/>
      <c r="FWL33" s="216"/>
      <c r="FWM33" s="216"/>
      <c r="FWN33" s="216"/>
      <c r="FWO33" s="216"/>
      <c r="FWP33" s="216"/>
      <c r="FWQ33" s="216"/>
      <c r="FWR33" s="216"/>
      <c r="FWS33" s="216"/>
      <c r="FWT33" s="216"/>
      <c r="FWU33" s="216"/>
      <c r="FWV33" s="216"/>
      <c r="FWW33" s="216"/>
      <c r="FWX33" s="216"/>
      <c r="FWY33" s="216"/>
      <c r="FWZ33" s="216"/>
      <c r="FXA33" s="216"/>
      <c r="FXB33" s="216"/>
      <c r="FXC33" s="216"/>
      <c r="FXD33" s="216"/>
      <c r="FXE33" s="216"/>
      <c r="FXF33" s="216"/>
      <c r="FXG33" s="216"/>
      <c r="FXH33" s="216"/>
      <c r="FXI33" s="216"/>
      <c r="FXJ33" s="216"/>
      <c r="FXK33" s="216"/>
      <c r="FXL33" s="216"/>
      <c r="FXM33" s="216"/>
      <c r="FXN33" s="216"/>
      <c r="FXO33" s="216"/>
      <c r="FXP33" s="216"/>
      <c r="FXQ33" s="216"/>
      <c r="FXR33" s="216"/>
      <c r="FXS33" s="216"/>
      <c r="FXT33" s="216"/>
      <c r="FXU33" s="216"/>
      <c r="FXV33" s="216"/>
      <c r="FXW33" s="216"/>
      <c r="FXX33" s="216"/>
      <c r="FXY33" s="216"/>
      <c r="FXZ33" s="216"/>
      <c r="FYA33" s="216"/>
      <c r="FYB33" s="216"/>
      <c r="FYC33" s="216"/>
      <c r="FYD33" s="216"/>
      <c r="FYE33" s="216"/>
      <c r="FYF33" s="216"/>
      <c r="FYG33" s="216"/>
      <c r="FYH33" s="216"/>
      <c r="FYI33" s="216"/>
      <c r="FYJ33" s="216"/>
      <c r="FYK33" s="216"/>
      <c r="FYL33" s="216"/>
      <c r="FYM33" s="216"/>
      <c r="FYN33" s="216"/>
      <c r="FYO33" s="216"/>
      <c r="FYP33" s="216"/>
      <c r="FYQ33" s="216"/>
      <c r="FYR33" s="216"/>
      <c r="FYS33" s="216"/>
      <c r="FYT33" s="216"/>
      <c r="FYU33" s="216"/>
      <c r="FYV33" s="216"/>
      <c r="FYW33" s="216"/>
      <c r="FYX33" s="216"/>
      <c r="FYY33" s="216"/>
      <c r="FYZ33" s="216"/>
      <c r="FZA33" s="216"/>
      <c r="FZB33" s="216"/>
      <c r="FZC33" s="216"/>
      <c r="FZD33" s="216"/>
      <c r="FZE33" s="216"/>
      <c r="FZF33" s="216"/>
      <c r="FZG33" s="216"/>
      <c r="FZH33" s="216"/>
      <c r="FZI33" s="216"/>
      <c r="FZJ33" s="216"/>
      <c r="FZK33" s="216"/>
      <c r="FZL33" s="216"/>
      <c r="FZM33" s="216"/>
      <c r="FZN33" s="216"/>
      <c r="FZO33" s="216"/>
      <c r="FZP33" s="216"/>
      <c r="FZQ33" s="216"/>
      <c r="FZR33" s="216"/>
      <c r="FZS33" s="216"/>
      <c r="FZT33" s="216"/>
      <c r="FZU33" s="216"/>
      <c r="FZV33" s="216"/>
      <c r="FZW33" s="216"/>
      <c r="FZX33" s="216"/>
      <c r="FZY33" s="216"/>
      <c r="FZZ33" s="216"/>
      <c r="GAA33" s="216"/>
      <c r="GAB33" s="216"/>
      <c r="GAC33" s="216"/>
      <c r="GAD33" s="216"/>
      <c r="GAE33" s="216"/>
      <c r="GAF33" s="216"/>
      <c r="GAG33" s="216"/>
      <c r="GAH33" s="216"/>
      <c r="GAI33" s="216"/>
      <c r="GAJ33" s="216"/>
      <c r="GAK33" s="216"/>
      <c r="GAL33" s="216"/>
      <c r="GAM33" s="216"/>
      <c r="GAN33" s="216"/>
      <c r="GAO33" s="216"/>
      <c r="GAP33" s="216"/>
      <c r="GAQ33" s="216"/>
      <c r="GAR33" s="216"/>
      <c r="GAS33" s="216"/>
      <c r="GAT33" s="216"/>
      <c r="GAU33" s="216"/>
      <c r="GAV33" s="216"/>
      <c r="GAW33" s="216"/>
      <c r="GAX33" s="216"/>
      <c r="GAY33" s="216"/>
      <c r="GAZ33" s="216"/>
      <c r="GBA33" s="216"/>
      <c r="GBB33" s="216"/>
      <c r="GBC33" s="216"/>
      <c r="GBD33" s="216"/>
      <c r="GBE33" s="216"/>
      <c r="GBF33" s="216"/>
      <c r="GBG33" s="216"/>
      <c r="GBH33" s="216"/>
      <c r="GBI33" s="216"/>
      <c r="GBJ33" s="216"/>
      <c r="GBK33" s="216"/>
      <c r="GBL33" s="216"/>
      <c r="GBM33" s="216"/>
      <c r="GBN33" s="216"/>
      <c r="GBO33" s="216"/>
      <c r="GBP33" s="216"/>
      <c r="GBQ33" s="216"/>
      <c r="GBR33" s="216"/>
      <c r="GBS33" s="216"/>
      <c r="GBT33" s="216"/>
      <c r="GBU33" s="216"/>
      <c r="GBV33" s="216"/>
      <c r="GBW33" s="216"/>
      <c r="GBX33" s="216"/>
      <c r="GBY33" s="216"/>
      <c r="GBZ33" s="216"/>
      <c r="GCA33" s="216"/>
      <c r="GCB33" s="216"/>
      <c r="GCC33" s="216"/>
      <c r="GCD33" s="216"/>
      <c r="GCE33" s="216"/>
      <c r="GCF33" s="216"/>
      <c r="GCG33" s="216"/>
      <c r="GCH33" s="216"/>
      <c r="GCI33" s="216"/>
      <c r="GCJ33" s="216"/>
      <c r="GCK33" s="216"/>
      <c r="GCL33" s="216"/>
      <c r="GCM33" s="216"/>
      <c r="GCN33" s="216"/>
      <c r="GCO33" s="216"/>
      <c r="GCP33" s="216"/>
      <c r="GCQ33" s="216"/>
      <c r="GCR33" s="216"/>
      <c r="GCS33" s="216"/>
      <c r="GCT33" s="216"/>
      <c r="GCU33" s="216"/>
      <c r="GCV33" s="216"/>
      <c r="GCW33" s="216"/>
      <c r="GCX33" s="216"/>
      <c r="GCY33" s="216"/>
      <c r="GCZ33" s="216"/>
      <c r="GDA33" s="216"/>
      <c r="GDB33" s="216"/>
      <c r="GDC33" s="216"/>
      <c r="GDD33" s="216"/>
      <c r="GDE33" s="216"/>
      <c r="GDF33" s="216"/>
      <c r="GDG33" s="216"/>
      <c r="GDH33" s="216"/>
      <c r="GDI33" s="216"/>
      <c r="GDJ33" s="216"/>
      <c r="GDK33" s="216"/>
      <c r="GDL33" s="216"/>
      <c r="GDM33" s="216"/>
      <c r="GDN33" s="216"/>
      <c r="GDO33" s="216"/>
      <c r="GDP33" s="216"/>
      <c r="GDQ33" s="216"/>
      <c r="GDR33" s="216"/>
      <c r="GDS33" s="216"/>
      <c r="GDT33" s="216"/>
      <c r="GDU33" s="216"/>
      <c r="GDV33" s="216"/>
      <c r="GDW33" s="216"/>
      <c r="GDX33" s="216"/>
      <c r="GDY33" s="216"/>
      <c r="GDZ33" s="216"/>
      <c r="GEA33" s="216"/>
      <c r="GEB33" s="216"/>
      <c r="GEC33" s="216"/>
      <c r="GED33" s="216"/>
      <c r="GEE33" s="216"/>
      <c r="GEF33" s="216"/>
      <c r="GEG33" s="216"/>
      <c r="GEH33" s="216"/>
      <c r="GEI33" s="216"/>
      <c r="GEJ33" s="216"/>
      <c r="GEK33" s="216"/>
      <c r="GEL33" s="216"/>
      <c r="GEM33" s="216"/>
      <c r="GEN33" s="216"/>
      <c r="GEO33" s="216"/>
      <c r="GEP33" s="216"/>
      <c r="GEQ33" s="216"/>
      <c r="GER33" s="216"/>
      <c r="GES33" s="216"/>
      <c r="GET33" s="216"/>
      <c r="GEU33" s="216"/>
      <c r="GEV33" s="216"/>
      <c r="GEW33" s="216"/>
      <c r="GEX33" s="216"/>
      <c r="GEY33" s="216"/>
      <c r="GEZ33" s="216"/>
      <c r="GFA33" s="216"/>
      <c r="GFB33" s="216"/>
      <c r="GFC33" s="216"/>
      <c r="GFD33" s="216"/>
      <c r="GFE33" s="216"/>
      <c r="GFF33" s="216"/>
      <c r="GFG33" s="216"/>
      <c r="GFH33" s="216"/>
      <c r="GFI33" s="216"/>
      <c r="GFJ33" s="216"/>
      <c r="GFK33" s="216"/>
      <c r="GFL33" s="216"/>
      <c r="GFM33" s="216"/>
      <c r="GFN33" s="216"/>
      <c r="GFO33" s="216"/>
      <c r="GFP33" s="216"/>
      <c r="GFQ33" s="216"/>
      <c r="GFR33" s="216"/>
      <c r="GFS33" s="216"/>
      <c r="GFT33" s="216"/>
      <c r="GFU33" s="216"/>
      <c r="GFV33" s="216"/>
      <c r="GFW33" s="216"/>
      <c r="GFX33" s="216"/>
      <c r="GFY33" s="216"/>
      <c r="GFZ33" s="216"/>
      <c r="GGA33" s="216"/>
      <c r="GGB33" s="216"/>
      <c r="GGC33" s="216"/>
      <c r="GGD33" s="216"/>
      <c r="GGE33" s="216"/>
      <c r="GGF33" s="216"/>
      <c r="GGG33" s="216"/>
      <c r="GGH33" s="216"/>
      <c r="GGI33" s="216"/>
      <c r="GGJ33" s="216"/>
      <c r="GGK33" s="216"/>
      <c r="GGL33" s="216"/>
      <c r="GGM33" s="216"/>
      <c r="GGN33" s="216"/>
      <c r="GGO33" s="216"/>
      <c r="GGP33" s="216"/>
      <c r="GGQ33" s="216"/>
      <c r="GGR33" s="216"/>
      <c r="GGS33" s="216"/>
      <c r="GGT33" s="216"/>
      <c r="GGU33" s="216"/>
      <c r="GGV33" s="216"/>
      <c r="GGW33" s="216"/>
      <c r="GGX33" s="216"/>
      <c r="GGY33" s="216"/>
      <c r="GGZ33" s="216"/>
      <c r="GHA33" s="216"/>
      <c r="GHB33" s="216"/>
      <c r="GHC33" s="216"/>
      <c r="GHD33" s="216"/>
      <c r="GHE33" s="216"/>
      <c r="GHF33" s="216"/>
      <c r="GHG33" s="216"/>
      <c r="GHH33" s="216"/>
      <c r="GHI33" s="216"/>
      <c r="GHJ33" s="216"/>
      <c r="GHK33" s="216"/>
      <c r="GHL33" s="216"/>
      <c r="GHM33" s="216"/>
      <c r="GHN33" s="216"/>
      <c r="GHO33" s="216"/>
      <c r="GHP33" s="216"/>
      <c r="GHQ33" s="216"/>
      <c r="GHR33" s="216"/>
      <c r="GHS33" s="216"/>
      <c r="GHT33" s="216"/>
      <c r="GHU33" s="216"/>
      <c r="GHV33" s="216"/>
      <c r="GHW33" s="216"/>
      <c r="GHX33" s="216"/>
      <c r="GHY33" s="216"/>
      <c r="GHZ33" s="216"/>
      <c r="GIA33" s="216"/>
      <c r="GIB33" s="216"/>
      <c r="GIC33" s="216"/>
      <c r="GID33" s="216"/>
      <c r="GIE33" s="216"/>
      <c r="GIF33" s="216"/>
      <c r="GIG33" s="216"/>
      <c r="GIH33" s="216"/>
      <c r="GII33" s="216"/>
      <c r="GIJ33" s="216"/>
      <c r="GIK33" s="216"/>
      <c r="GIL33" s="216"/>
      <c r="GIM33" s="216"/>
      <c r="GIN33" s="216"/>
      <c r="GIO33" s="216"/>
      <c r="GIP33" s="216"/>
      <c r="GIQ33" s="216"/>
      <c r="GIR33" s="216"/>
      <c r="GIS33" s="216"/>
      <c r="GIT33" s="216"/>
      <c r="GIU33" s="216"/>
      <c r="GIV33" s="216"/>
      <c r="GIW33" s="216"/>
      <c r="GIX33" s="216"/>
      <c r="GIY33" s="216"/>
      <c r="GIZ33" s="216"/>
      <c r="GJA33" s="216"/>
      <c r="GJB33" s="216"/>
      <c r="GJC33" s="216"/>
      <c r="GJD33" s="216"/>
      <c r="GJE33" s="216"/>
      <c r="GJF33" s="216"/>
      <c r="GJG33" s="216"/>
      <c r="GJH33" s="216"/>
      <c r="GJI33" s="216"/>
      <c r="GJJ33" s="216"/>
      <c r="GJK33" s="216"/>
      <c r="GJL33" s="216"/>
      <c r="GJM33" s="216"/>
      <c r="GJN33" s="216"/>
      <c r="GJO33" s="216"/>
      <c r="GJP33" s="216"/>
      <c r="GJQ33" s="216"/>
      <c r="GJR33" s="216"/>
      <c r="GJS33" s="216"/>
      <c r="GJT33" s="216"/>
      <c r="GJU33" s="216"/>
      <c r="GJV33" s="216"/>
      <c r="GJW33" s="216"/>
      <c r="GJX33" s="216"/>
      <c r="GJY33" s="216"/>
      <c r="GJZ33" s="216"/>
      <c r="GKA33" s="216"/>
      <c r="GKB33" s="216"/>
      <c r="GKC33" s="216"/>
      <c r="GKD33" s="216"/>
      <c r="GKE33" s="216"/>
      <c r="GKF33" s="216"/>
      <c r="GKG33" s="216"/>
      <c r="GKH33" s="216"/>
      <c r="GKI33" s="216"/>
      <c r="GKJ33" s="216"/>
      <c r="GKK33" s="216"/>
      <c r="GKL33" s="216"/>
      <c r="GKM33" s="216"/>
      <c r="GKN33" s="216"/>
      <c r="GKO33" s="216"/>
      <c r="GKP33" s="216"/>
      <c r="GKQ33" s="216"/>
      <c r="GKR33" s="216"/>
      <c r="GKS33" s="216"/>
      <c r="GKT33" s="216"/>
      <c r="GKU33" s="216"/>
      <c r="GKV33" s="216"/>
      <c r="GKW33" s="216"/>
      <c r="GKX33" s="216"/>
      <c r="GKY33" s="216"/>
      <c r="GKZ33" s="216"/>
      <c r="GLA33" s="216"/>
      <c r="GLB33" s="216"/>
      <c r="GLC33" s="216"/>
      <c r="GLD33" s="216"/>
      <c r="GLE33" s="216"/>
      <c r="GLF33" s="216"/>
      <c r="GLG33" s="216"/>
      <c r="GLH33" s="216"/>
      <c r="GLI33" s="216"/>
      <c r="GLJ33" s="216"/>
      <c r="GLK33" s="216"/>
      <c r="GLL33" s="216"/>
      <c r="GLM33" s="216"/>
      <c r="GLN33" s="216"/>
      <c r="GLO33" s="216"/>
      <c r="GLP33" s="216"/>
      <c r="GLQ33" s="216"/>
      <c r="GLR33" s="216"/>
      <c r="GLS33" s="216"/>
      <c r="GLT33" s="216"/>
      <c r="GLU33" s="216"/>
      <c r="GLV33" s="216"/>
      <c r="GLW33" s="216"/>
      <c r="GLX33" s="216"/>
      <c r="GLY33" s="216"/>
      <c r="GLZ33" s="216"/>
      <c r="GMA33" s="216"/>
      <c r="GMB33" s="216"/>
      <c r="GMC33" s="216"/>
      <c r="GMD33" s="216"/>
      <c r="GME33" s="216"/>
      <c r="GMF33" s="216"/>
      <c r="GMG33" s="216"/>
      <c r="GMH33" s="216"/>
      <c r="GMI33" s="216"/>
      <c r="GMJ33" s="216"/>
      <c r="GMK33" s="216"/>
      <c r="GML33" s="216"/>
      <c r="GMM33" s="216"/>
      <c r="GMN33" s="216"/>
      <c r="GMO33" s="216"/>
      <c r="GMP33" s="216"/>
      <c r="GMQ33" s="216"/>
      <c r="GMR33" s="216"/>
      <c r="GMS33" s="216"/>
      <c r="GMT33" s="216"/>
      <c r="GMU33" s="216"/>
      <c r="GMV33" s="216"/>
      <c r="GMW33" s="216"/>
      <c r="GMX33" s="216"/>
      <c r="GMY33" s="216"/>
      <c r="GMZ33" s="216"/>
      <c r="GNA33" s="216"/>
      <c r="GNB33" s="216"/>
      <c r="GNC33" s="216"/>
      <c r="GND33" s="216"/>
      <c r="GNE33" s="216"/>
      <c r="GNF33" s="216"/>
      <c r="GNG33" s="216"/>
      <c r="GNH33" s="216"/>
      <c r="GNI33" s="216"/>
      <c r="GNJ33" s="216"/>
      <c r="GNK33" s="216"/>
      <c r="GNL33" s="216"/>
      <c r="GNM33" s="216"/>
      <c r="GNN33" s="216"/>
      <c r="GNO33" s="216"/>
      <c r="GNP33" s="216"/>
      <c r="GNQ33" s="216"/>
      <c r="GNR33" s="216"/>
      <c r="GNS33" s="216"/>
      <c r="GNT33" s="216"/>
      <c r="GNU33" s="216"/>
      <c r="GNV33" s="216"/>
      <c r="GNW33" s="216"/>
      <c r="GNX33" s="216"/>
      <c r="GNY33" s="216"/>
      <c r="GNZ33" s="216"/>
      <c r="GOA33" s="216"/>
      <c r="GOB33" s="216"/>
      <c r="GOC33" s="216"/>
      <c r="GOD33" s="216"/>
      <c r="GOE33" s="216"/>
      <c r="GOF33" s="216"/>
      <c r="GOG33" s="216"/>
      <c r="GOH33" s="216"/>
      <c r="GOI33" s="216"/>
      <c r="GOJ33" s="216"/>
      <c r="GOK33" s="216"/>
      <c r="GOL33" s="216"/>
      <c r="GOM33" s="216"/>
      <c r="GON33" s="216"/>
      <c r="GOO33" s="216"/>
      <c r="GOP33" s="216"/>
      <c r="GOQ33" s="216"/>
      <c r="GOR33" s="216"/>
      <c r="GOS33" s="216"/>
      <c r="GOT33" s="216"/>
      <c r="GOU33" s="216"/>
      <c r="GOV33" s="216"/>
      <c r="GOW33" s="216"/>
      <c r="GOX33" s="216"/>
      <c r="GOY33" s="216"/>
      <c r="GOZ33" s="216"/>
      <c r="GPA33" s="216"/>
      <c r="GPB33" s="216"/>
      <c r="GPC33" s="216"/>
      <c r="GPD33" s="216"/>
      <c r="GPE33" s="216"/>
      <c r="GPF33" s="216"/>
      <c r="GPG33" s="216"/>
      <c r="GPH33" s="216"/>
      <c r="GPI33" s="216"/>
      <c r="GPJ33" s="216"/>
      <c r="GPK33" s="216"/>
      <c r="GPL33" s="216"/>
      <c r="GPM33" s="216"/>
      <c r="GPN33" s="216"/>
      <c r="GPO33" s="216"/>
      <c r="GPP33" s="216"/>
      <c r="GPQ33" s="216"/>
      <c r="GPR33" s="216"/>
      <c r="GPS33" s="216"/>
      <c r="GPT33" s="216"/>
      <c r="GPU33" s="216"/>
      <c r="GPV33" s="216"/>
      <c r="GPW33" s="216"/>
      <c r="GPX33" s="216"/>
      <c r="GPY33" s="216"/>
      <c r="GPZ33" s="216"/>
      <c r="GQA33" s="216"/>
      <c r="GQB33" s="216"/>
      <c r="GQC33" s="216"/>
      <c r="GQD33" s="216"/>
      <c r="GQE33" s="216"/>
      <c r="GQF33" s="216"/>
      <c r="GQG33" s="216"/>
      <c r="GQH33" s="216"/>
      <c r="GQI33" s="216"/>
      <c r="GQJ33" s="216"/>
      <c r="GQK33" s="216"/>
      <c r="GQL33" s="216"/>
      <c r="GQM33" s="216"/>
      <c r="GQN33" s="216"/>
      <c r="GQO33" s="216"/>
      <c r="GQP33" s="216"/>
      <c r="GQQ33" s="216"/>
      <c r="GQR33" s="216"/>
      <c r="GQS33" s="216"/>
      <c r="GQT33" s="216"/>
      <c r="GQU33" s="216"/>
      <c r="GQV33" s="216"/>
      <c r="GQW33" s="216"/>
      <c r="GQX33" s="216"/>
      <c r="GQY33" s="216"/>
      <c r="GQZ33" s="216"/>
      <c r="GRA33" s="216"/>
      <c r="GRB33" s="216"/>
      <c r="GRC33" s="216"/>
      <c r="GRD33" s="216"/>
      <c r="GRE33" s="216"/>
      <c r="GRF33" s="216"/>
      <c r="GRG33" s="216"/>
      <c r="GRH33" s="216"/>
      <c r="GRI33" s="216"/>
      <c r="GRJ33" s="216"/>
      <c r="GRK33" s="216"/>
      <c r="GRL33" s="216"/>
      <c r="GRM33" s="216"/>
      <c r="GRN33" s="216"/>
      <c r="GRO33" s="216"/>
      <c r="GRP33" s="216"/>
      <c r="GRQ33" s="216"/>
      <c r="GRR33" s="216"/>
      <c r="GRS33" s="216"/>
      <c r="GRT33" s="216"/>
      <c r="GRU33" s="216"/>
      <c r="GRV33" s="216"/>
      <c r="GRW33" s="216"/>
      <c r="GRX33" s="216"/>
      <c r="GRY33" s="216"/>
      <c r="GRZ33" s="216"/>
      <c r="GSA33" s="216"/>
      <c r="GSB33" s="216"/>
      <c r="GSC33" s="216"/>
      <c r="GSD33" s="216"/>
      <c r="GSE33" s="216"/>
      <c r="GSF33" s="216"/>
      <c r="GSG33" s="216"/>
      <c r="GSH33" s="216"/>
      <c r="GSI33" s="216"/>
      <c r="GSJ33" s="216"/>
      <c r="GSK33" s="216"/>
      <c r="GSL33" s="216"/>
      <c r="GSM33" s="216"/>
      <c r="GSN33" s="216"/>
      <c r="GSO33" s="216"/>
      <c r="GSP33" s="216"/>
      <c r="GSQ33" s="216"/>
      <c r="GSR33" s="216"/>
      <c r="GSS33" s="216"/>
      <c r="GST33" s="216"/>
      <c r="GSU33" s="216"/>
      <c r="GSV33" s="216"/>
      <c r="GSW33" s="216"/>
      <c r="GSX33" s="216"/>
      <c r="GSY33" s="216"/>
      <c r="GSZ33" s="216"/>
      <c r="GTA33" s="216"/>
      <c r="GTB33" s="216"/>
      <c r="GTC33" s="216"/>
      <c r="GTD33" s="216"/>
      <c r="GTE33" s="216"/>
      <c r="GTF33" s="216"/>
      <c r="GTG33" s="216"/>
      <c r="GTH33" s="216"/>
      <c r="GTI33" s="216"/>
      <c r="GTJ33" s="216"/>
      <c r="GTK33" s="216"/>
      <c r="GTL33" s="216"/>
      <c r="GTM33" s="216"/>
      <c r="GTN33" s="216"/>
      <c r="GTO33" s="216"/>
      <c r="GTP33" s="216"/>
      <c r="GTQ33" s="216"/>
      <c r="GTR33" s="216"/>
      <c r="GTS33" s="216"/>
      <c r="GTT33" s="216"/>
      <c r="GTU33" s="216"/>
      <c r="GTV33" s="216"/>
      <c r="GTW33" s="216"/>
      <c r="GTX33" s="216"/>
      <c r="GTY33" s="216"/>
      <c r="GTZ33" s="216"/>
      <c r="GUA33" s="216"/>
      <c r="GUB33" s="216"/>
      <c r="GUC33" s="216"/>
      <c r="GUD33" s="216"/>
      <c r="GUE33" s="216"/>
      <c r="GUF33" s="216"/>
      <c r="GUG33" s="216"/>
      <c r="GUH33" s="216"/>
      <c r="GUI33" s="216"/>
      <c r="GUJ33" s="216"/>
      <c r="GUK33" s="216"/>
      <c r="GUL33" s="216"/>
      <c r="GUM33" s="216"/>
      <c r="GUN33" s="216"/>
      <c r="GUO33" s="216"/>
      <c r="GUP33" s="216"/>
      <c r="GUQ33" s="216"/>
      <c r="GUR33" s="216"/>
      <c r="GUS33" s="216"/>
      <c r="GUT33" s="216"/>
      <c r="GUU33" s="216"/>
      <c r="GUV33" s="216"/>
      <c r="GUW33" s="216"/>
      <c r="GUX33" s="216"/>
      <c r="GUY33" s="216"/>
      <c r="GUZ33" s="216"/>
      <c r="GVA33" s="216"/>
      <c r="GVB33" s="216"/>
      <c r="GVC33" s="216"/>
      <c r="GVD33" s="216"/>
      <c r="GVE33" s="216"/>
      <c r="GVF33" s="216"/>
      <c r="GVG33" s="216"/>
      <c r="GVH33" s="216"/>
      <c r="GVI33" s="216"/>
      <c r="GVJ33" s="216"/>
      <c r="GVK33" s="216"/>
      <c r="GVL33" s="216"/>
      <c r="GVM33" s="216"/>
      <c r="GVN33" s="216"/>
      <c r="GVO33" s="216"/>
      <c r="GVP33" s="216"/>
      <c r="GVQ33" s="216"/>
      <c r="GVR33" s="216"/>
      <c r="GVS33" s="216"/>
      <c r="GVT33" s="216"/>
      <c r="GVU33" s="216"/>
      <c r="GVV33" s="216"/>
      <c r="GVW33" s="216"/>
      <c r="GVX33" s="216"/>
      <c r="GVY33" s="216"/>
      <c r="GVZ33" s="216"/>
      <c r="GWA33" s="216"/>
      <c r="GWB33" s="216"/>
      <c r="GWC33" s="216"/>
      <c r="GWD33" s="216"/>
      <c r="GWE33" s="216"/>
      <c r="GWF33" s="216"/>
      <c r="GWG33" s="216"/>
      <c r="GWH33" s="216"/>
      <c r="GWI33" s="216"/>
      <c r="GWJ33" s="216"/>
      <c r="GWK33" s="216"/>
      <c r="GWL33" s="216"/>
      <c r="GWM33" s="216"/>
      <c r="GWN33" s="216"/>
      <c r="GWO33" s="216"/>
      <c r="GWP33" s="216"/>
      <c r="GWQ33" s="216"/>
      <c r="GWR33" s="216"/>
      <c r="GWS33" s="216"/>
      <c r="GWT33" s="216"/>
      <c r="GWU33" s="216"/>
      <c r="GWV33" s="216"/>
      <c r="GWW33" s="216"/>
      <c r="GWX33" s="216"/>
      <c r="GWY33" s="216"/>
      <c r="GWZ33" s="216"/>
      <c r="GXA33" s="216"/>
      <c r="GXB33" s="216"/>
      <c r="GXC33" s="216"/>
      <c r="GXD33" s="216"/>
      <c r="GXE33" s="216"/>
      <c r="GXF33" s="216"/>
      <c r="GXG33" s="216"/>
      <c r="GXH33" s="216"/>
      <c r="GXI33" s="216"/>
      <c r="GXJ33" s="216"/>
      <c r="GXK33" s="216"/>
      <c r="GXL33" s="216"/>
      <c r="GXM33" s="216"/>
      <c r="GXN33" s="216"/>
      <c r="GXO33" s="216"/>
      <c r="GXP33" s="216"/>
      <c r="GXQ33" s="216"/>
      <c r="GXR33" s="216"/>
      <c r="GXS33" s="216"/>
      <c r="GXT33" s="216"/>
      <c r="GXU33" s="216"/>
      <c r="GXV33" s="216"/>
      <c r="GXW33" s="216"/>
      <c r="GXX33" s="216"/>
      <c r="GXY33" s="216"/>
      <c r="GXZ33" s="216"/>
      <c r="GYA33" s="216"/>
      <c r="GYB33" s="216"/>
      <c r="GYC33" s="216"/>
      <c r="GYD33" s="216"/>
      <c r="GYE33" s="216"/>
      <c r="GYF33" s="216"/>
      <c r="GYG33" s="216"/>
      <c r="GYH33" s="216"/>
      <c r="GYI33" s="216"/>
      <c r="GYJ33" s="216"/>
      <c r="GYK33" s="216"/>
      <c r="GYL33" s="216"/>
      <c r="GYM33" s="216"/>
      <c r="GYN33" s="216"/>
      <c r="GYO33" s="216"/>
      <c r="GYP33" s="216"/>
      <c r="GYQ33" s="216"/>
      <c r="GYR33" s="216"/>
      <c r="GYS33" s="216"/>
      <c r="GYT33" s="216"/>
      <c r="GYU33" s="216"/>
      <c r="GYV33" s="216"/>
      <c r="GYW33" s="216"/>
      <c r="GYX33" s="216"/>
      <c r="GYY33" s="216"/>
      <c r="GYZ33" s="216"/>
      <c r="GZA33" s="216"/>
      <c r="GZB33" s="216"/>
      <c r="GZC33" s="216"/>
      <c r="GZD33" s="216"/>
      <c r="GZE33" s="216"/>
      <c r="GZF33" s="216"/>
      <c r="GZG33" s="216"/>
      <c r="GZH33" s="216"/>
      <c r="GZI33" s="216"/>
      <c r="GZJ33" s="216"/>
      <c r="GZK33" s="216"/>
      <c r="GZL33" s="216"/>
      <c r="GZM33" s="216"/>
      <c r="GZN33" s="216"/>
      <c r="GZO33" s="216"/>
      <c r="GZP33" s="216"/>
      <c r="GZQ33" s="216"/>
      <c r="GZR33" s="216"/>
      <c r="GZS33" s="216"/>
      <c r="GZT33" s="216"/>
      <c r="GZU33" s="216"/>
      <c r="GZV33" s="216"/>
      <c r="GZW33" s="216"/>
      <c r="GZX33" s="216"/>
      <c r="GZY33" s="216"/>
      <c r="GZZ33" s="216"/>
      <c r="HAA33" s="216"/>
      <c r="HAB33" s="216"/>
      <c r="HAC33" s="216"/>
      <c r="HAD33" s="216"/>
      <c r="HAE33" s="216"/>
      <c r="HAF33" s="216"/>
      <c r="HAG33" s="216"/>
      <c r="HAH33" s="216"/>
      <c r="HAI33" s="216"/>
      <c r="HAJ33" s="216"/>
      <c r="HAK33" s="216"/>
      <c r="HAL33" s="216"/>
      <c r="HAM33" s="216"/>
      <c r="HAN33" s="216"/>
      <c r="HAO33" s="216"/>
      <c r="HAP33" s="216"/>
      <c r="HAQ33" s="216"/>
      <c r="HAR33" s="216"/>
      <c r="HAS33" s="216"/>
      <c r="HAT33" s="216"/>
      <c r="HAU33" s="216"/>
      <c r="HAV33" s="216"/>
      <c r="HAW33" s="216"/>
      <c r="HAX33" s="216"/>
      <c r="HAY33" s="216"/>
      <c r="HAZ33" s="216"/>
      <c r="HBA33" s="216"/>
      <c r="HBB33" s="216"/>
      <c r="HBC33" s="216"/>
      <c r="HBD33" s="216"/>
      <c r="HBE33" s="216"/>
      <c r="HBF33" s="216"/>
      <c r="HBG33" s="216"/>
      <c r="HBH33" s="216"/>
      <c r="HBI33" s="216"/>
      <c r="HBJ33" s="216"/>
      <c r="HBK33" s="216"/>
      <c r="HBL33" s="216"/>
      <c r="HBM33" s="216"/>
      <c r="HBN33" s="216"/>
      <c r="HBO33" s="216"/>
      <c r="HBP33" s="216"/>
      <c r="HBQ33" s="216"/>
      <c r="HBR33" s="216"/>
      <c r="HBS33" s="216"/>
      <c r="HBT33" s="216"/>
      <c r="HBU33" s="216"/>
      <c r="HBV33" s="216"/>
      <c r="HBW33" s="216"/>
      <c r="HBX33" s="216"/>
      <c r="HBY33" s="216"/>
      <c r="HBZ33" s="216"/>
      <c r="HCA33" s="216"/>
      <c r="HCB33" s="216"/>
      <c r="HCC33" s="216"/>
      <c r="HCD33" s="216"/>
      <c r="HCE33" s="216"/>
      <c r="HCF33" s="216"/>
      <c r="HCG33" s="216"/>
      <c r="HCH33" s="216"/>
      <c r="HCI33" s="216"/>
      <c r="HCJ33" s="216"/>
      <c r="HCK33" s="216"/>
      <c r="HCL33" s="216"/>
      <c r="HCM33" s="216"/>
      <c r="HCN33" s="216"/>
      <c r="HCO33" s="216"/>
      <c r="HCP33" s="216"/>
      <c r="HCQ33" s="216"/>
      <c r="HCR33" s="216"/>
      <c r="HCS33" s="216"/>
      <c r="HCT33" s="216"/>
      <c r="HCU33" s="216"/>
      <c r="HCV33" s="216"/>
      <c r="HCW33" s="216"/>
      <c r="HCX33" s="216"/>
      <c r="HCY33" s="216"/>
      <c r="HCZ33" s="216"/>
      <c r="HDA33" s="216"/>
      <c r="HDB33" s="216"/>
      <c r="HDC33" s="216"/>
      <c r="HDD33" s="216"/>
      <c r="HDE33" s="216"/>
      <c r="HDF33" s="216"/>
      <c r="HDG33" s="216"/>
      <c r="HDH33" s="216"/>
      <c r="HDI33" s="216"/>
      <c r="HDJ33" s="216"/>
      <c r="HDK33" s="216"/>
      <c r="HDL33" s="216"/>
      <c r="HDM33" s="216"/>
      <c r="HDN33" s="216"/>
      <c r="HDO33" s="216"/>
      <c r="HDP33" s="216"/>
      <c r="HDQ33" s="216"/>
      <c r="HDR33" s="216"/>
      <c r="HDS33" s="216"/>
      <c r="HDT33" s="216"/>
      <c r="HDU33" s="216"/>
      <c r="HDV33" s="216"/>
      <c r="HDW33" s="216"/>
      <c r="HDX33" s="216"/>
      <c r="HDY33" s="216"/>
      <c r="HDZ33" s="216"/>
      <c r="HEA33" s="216"/>
      <c r="HEB33" s="216"/>
      <c r="HEC33" s="216"/>
      <c r="HED33" s="216"/>
      <c r="HEE33" s="216"/>
      <c r="HEF33" s="216"/>
      <c r="HEG33" s="216"/>
      <c r="HEH33" s="216"/>
      <c r="HEI33" s="216"/>
      <c r="HEJ33" s="216"/>
      <c r="HEK33" s="216"/>
      <c r="HEL33" s="216"/>
      <c r="HEM33" s="216"/>
      <c r="HEN33" s="216"/>
      <c r="HEO33" s="216"/>
      <c r="HEP33" s="216"/>
      <c r="HEQ33" s="216"/>
      <c r="HER33" s="216"/>
      <c r="HES33" s="216"/>
      <c r="HET33" s="216"/>
      <c r="HEU33" s="216"/>
      <c r="HEV33" s="216"/>
      <c r="HEW33" s="216"/>
      <c r="HEX33" s="216"/>
      <c r="HEY33" s="216"/>
      <c r="HEZ33" s="216"/>
      <c r="HFA33" s="216"/>
      <c r="HFB33" s="216"/>
      <c r="HFC33" s="216"/>
      <c r="HFD33" s="216"/>
      <c r="HFE33" s="216"/>
      <c r="HFF33" s="216"/>
      <c r="HFG33" s="216"/>
      <c r="HFH33" s="216"/>
      <c r="HFI33" s="216"/>
      <c r="HFJ33" s="216"/>
      <c r="HFK33" s="216"/>
      <c r="HFL33" s="216"/>
      <c r="HFM33" s="216"/>
      <c r="HFN33" s="216"/>
      <c r="HFO33" s="216"/>
      <c r="HFP33" s="216"/>
      <c r="HFQ33" s="216"/>
      <c r="HFR33" s="216"/>
      <c r="HFS33" s="216"/>
      <c r="HFT33" s="216"/>
      <c r="HFU33" s="216"/>
      <c r="HFV33" s="216"/>
      <c r="HFW33" s="216"/>
      <c r="HFX33" s="216"/>
      <c r="HFY33" s="216"/>
      <c r="HFZ33" s="216"/>
      <c r="HGA33" s="216"/>
      <c r="HGB33" s="216"/>
      <c r="HGC33" s="216"/>
      <c r="HGD33" s="216"/>
      <c r="HGE33" s="216"/>
      <c r="HGF33" s="216"/>
      <c r="HGG33" s="216"/>
      <c r="HGH33" s="216"/>
      <c r="HGI33" s="216"/>
      <c r="HGJ33" s="216"/>
      <c r="HGK33" s="216"/>
      <c r="HGL33" s="216"/>
      <c r="HGM33" s="216"/>
      <c r="HGN33" s="216"/>
      <c r="HGO33" s="216"/>
      <c r="HGP33" s="216"/>
      <c r="HGQ33" s="216"/>
      <c r="HGR33" s="216"/>
      <c r="HGS33" s="216"/>
      <c r="HGT33" s="216"/>
      <c r="HGU33" s="216"/>
      <c r="HGV33" s="216"/>
      <c r="HGW33" s="216"/>
      <c r="HGX33" s="216"/>
      <c r="HGY33" s="216"/>
      <c r="HGZ33" s="216"/>
      <c r="HHA33" s="216"/>
      <c r="HHB33" s="216"/>
      <c r="HHC33" s="216"/>
      <c r="HHD33" s="216"/>
      <c r="HHE33" s="216"/>
      <c r="HHF33" s="216"/>
      <c r="HHG33" s="216"/>
      <c r="HHH33" s="216"/>
      <c r="HHI33" s="216"/>
      <c r="HHJ33" s="216"/>
      <c r="HHK33" s="216"/>
      <c r="HHL33" s="216"/>
      <c r="HHM33" s="216"/>
      <c r="HHN33" s="216"/>
      <c r="HHO33" s="216"/>
      <c r="HHP33" s="216"/>
      <c r="HHQ33" s="216"/>
      <c r="HHR33" s="216"/>
      <c r="HHS33" s="216"/>
      <c r="HHT33" s="216"/>
      <c r="HHU33" s="216"/>
      <c r="HHV33" s="216"/>
      <c r="HHW33" s="216"/>
      <c r="HHX33" s="216"/>
      <c r="HHY33" s="216"/>
      <c r="HHZ33" s="216"/>
      <c r="HIA33" s="216"/>
      <c r="HIB33" s="216"/>
      <c r="HIC33" s="216"/>
      <c r="HID33" s="216"/>
      <c r="HIE33" s="216"/>
      <c r="HIF33" s="216"/>
      <c r="HIG33" s="216"/>
      <c r="HIH33" s="216"/>
      <c r="HII33" s="216"/>
      <c r="HIJ33" s="216"/>
      <c r="HIK33" s="216"/>
      <c r="HIL33" s="216"/>
      <c r="HIM33" s="216"/>
      <c r="HIN33" s="216"/>
      <c r="HIO33" s="216"/>
      <c r="HIP33" s="216"/>
      <c r="HIQ33" s="216"/>
      <c r="HIR33" s="216"/>
      <c r="HIS33" s="216"/>
      <c r="HIT33" s="216"/>
      <c r="HIU33" s="216"/>
      <c r="HIV33" s="216"/>
      <c r="HIW33" s="216"/>
      <c r="HIX33" s="216"/>
      <c r="HIY33" s="216"/>
      <c r="HIZ33" s="216"/>
      <c r="HJA33" s="216"/>
      <c r="HJB33" s="216"/>
      <c r="HJC33" s="216"/>
      <c r="HJD33" s="216"/>
      <c r="HJE33" s="216"/>
      <c r="HJF33" s="216"/>
      <c r="HJG33" s="216"/>
      <c r="HJH33" s="216"/>
      <c r="HJI33" s="216"/>
      <c r="HJJ33" s="216"/>
      <c r="HJK33" s="216"/>
      <c r="HJL33" s="216"/>
      <c r="HJM33" s="216"/>
      <c r="HJN33" s="216"/>
      <c r="HJO33" s="216"/>
      <c r="HJP33" s="216"/>
      <c r="HJQ33" s="216"/>
      <c r="HJR33" s="216"/>
      <c r="HJS33" s="216"/>
      <c r="HJT33" s="216"/>
      <c r="HJU33" s="216"/>
      <c r="HJV33" s="216"/>
      <c r="HJW33" s="216"/>
      <c r="HJX33" s="216"/>
      <c r="HJY33" s="216"/>
      <c r="HJZ33" s="216"/>
      <c r="HKA33" s="216"/>
      <c r="HKB33" s="216"/>
      <c r="HKC33" s="216"/>
      <c r="HKD33" s="216"/>
      <c r="HKE33" s="216"/>
      <c r="HKF33" s="216"/>
      <c r="HKG33" s="216"/>
      <c r="HKH33" s="216"/>
      <c r="HKI33" s="216"/>
      <c r="HKJ33" s="216"/>
      <c r="HKK33" s="216"/>
      <c r="HKL33" s="216"/>
      <c r="HKM33" s="216"/>
      <c r="HKN33" s="216"/>
      <c r="HKO33" s="216"/>
      <c r="HKP33" s="216"/>
      <c r="HKQ33" s="216"/>
      <c r="HKR33" s="216"/>
      <c r="HKS33" s="216"/>
      <c r="HKT33" s="216"/>
      <c r="HKU33" s="216"/>
      <c r="HKV33" s="216"/>
      <c r="HKW33" s="216"/>
      <c r="HKX33" s="216"/>
      <c r="HKY33" s="216"/>
      <c r="HKZ33" s="216"/>
      <c r="HLA33" s="216"/>
      <c r="HLB33" s="216"/>
      <c r="HLC33" s="216"/>
      <c r="HLD33" s="216"/>
      <c r="HLE33" s="216"/>
      <c r="HLF33" s="216"/>
      <c r="HLG33" s="216"/>
      <c r="HLH33" s="216"/>
      <c r="HLI33" s="216"/>
      <c r="HLJ33" s="216"/>
      <c r="HLK33" s="216"/>
      <c r="HLL33" s="216"/>
      <c r="HLM33" s="216"/>
      <c r="HLN33" s="216"/>
      <c r="HLO33" s="216"/>
      <c r="HLP33" s="216"/>
      <c r="HLQ33" s="216"/>
      <c r="HLR33" s="216"/>
      <c r="HLS33" s="216"/>
      <c r="HLT33" s="216"/>
      <c r="HLU33" s="216"/>
      <c r="HLV33" s="216"/>
      <c r="HLW33" s="216"/>
      <c r="HLX33" s="216"/>
      <c r="HLY33" s="216"/>
      <c r="HLZ33" s="216"/>
      <c r="HMA33" s="216"/>
      <c r="HMB33" s="216"/>
      <c r="HMC33" s="216"/>
      <c r="HMD33" s="216"/>
      <c r="HME33" s="216"/>
      <c r="HMF33" s="216"/>
      <c r="HMG33" s="216"/>
      <c r="HMH33" s="216"/>
      <c r="HMI33" s="216"/>
      <c r="HMJ33" s="216"/>
      <c r="HMK33" s="216"/>
      <c r="HML33" s="216"/>
      <c r="HMM33" s="216"/>
      <c r="HMN33" s="216"/>
      <c r="HMO33" s="216"/>
      <c r="HMP33" s="216"/>
      <c r="HMQ33" s="216"/>
      <c r="HMR33" s="216"/>
      <c r="HMS33" s="216"/>
      <c r="HMT33" s="216"/>
      <c r="HMU33" s="216"/>
      <c r="HMV33" s="216"/>
      <c r="HMW33" s="216"/>
      <c r="HMX33" s="216"/>
      <c r="HMY33" s="216"/>
      <c r="HMZ33" s="216"/>
      <c r="HNA33" s="216"/>
      <c r="HNB33" s="216"/>
      <c r="HNC33" s="216"/>
      <c r="HND33" s="216"/>
      <c r="HNE33" s="216"/>
      <c r="HNF33" s="216"/>
      <c r="HNG33" s="216"/>
      <c r="HNH33" s="216"/>
      <c r="HNI33" s="216"/>
      <c r="HNJ33" s="216"/>
      <c r="HNK33" s="216"/>
      <c r="HNL33" s="216"/>
      <c r="HNM33" s="216"/>
      <c r="HNN33" s="216"/>
      <c r="HNO33" s="216"/>
      <c r="HNP33" s="216"/>
      <c r="HNQ33" s="216"/>
      <c r="HNR33" s="216"/>
      <c r="HNS33" s="216"/>
      <c r="HNT33" s="216"/>
      <c r="HNU33" s="216"/>
      <c r="HNV33" s="216"/>
      <c r="HNW33" s="216"/>
      <c r="HNX33" s="216"/>
      <c r="HNY33" s="216"/>
      <c r="HNZ33" s="216"/>
      <c r="HOA33" s="216"/>
      <c r="HOB33" s="216"/>
      <c r="HOC33" s="216"/>
      <c r="HOD33" s="216"/>
      <c r="HOE33" s="216"/>
      <c r="HOF33" s="216"/>
      <c r="HOG33" s="216"/>
      <c r="HOH33" s="216"/>
      <c r="HOI33" s="216"/>
      <c r="HOJ33" s="216"/>
      <c r="HOK33" s="216"/>
      <c r="HOL33" s="216"/>
      <c r="HOM33" s="216"/>
      <c r="HON33" s="216"/>
      <c r="HOO33" s="216"/>
      <c r="HOP33" s="216"/>
      <c r="HOQ33" s="216"/>
      <c r="HOR33" s="216"/>
      <c r="HOS33" s="216"/>
      <c r="HOT33" s="216"/>
      <c r="HOU33" s="216"/>
      <c r="HOV33" s="216"/>
      <c r="HOW33" s="216"/>
      <c r="HOX33" s="216"/>
      <c r="HOY33" s="216"/>
      <c r="HOZ33" s="216"/>
      <c r="HPA33" s="216"/>
      <c r="HPB33" s="216"/>
      <c r="HPC33" s="216"/>
      <c r="HPD33" s="216"/>
      <c r="HPE33" s="216"/>
      <c r="HPF33" s="216"/>
      <c r="HPG33" s="216"/>
      <c r="HPH33" s="216"/>
      <c r="HPI33" s="216"/>
      <c r="HPJ33" s="216"/>
      <c r="HPK33" s="216"/>
      <c r="HPL33" s="216"/>
      <c r="HPM33" s="216"/>
      <c r="HPN33" s="216"/>
      <c r="HPO33" s="216"/>
      <c r="HPP33" s="216"/>
      <c r="HPQ33" s="216"/>
      <c r="HPR33" s="216"/>
      <c r="HPS33" s="216"/>
      <c r="HPT33" s="216"/>
      <c r="HPU33" s="216"/>
      <c r="HPV33" s="216"/>
      <c r="HPW33" s="216"/>
      <c r="HPX33" s="216"/>
      <c r="HPY33" s="216"/>
      <c r="HPZ33" s="216"/>
      <c r="HQA33" s="216"/>
      <c r="HQB33" s="216"/>
      <c r="HQC33" s="216"/>
      <c r="HQD33" s="216"/>
      <c r="HQE33" s="216"/>
      <c r="HQF33" s="216"/>
      <c r="HQG33" s="216"/>
      <c r="HQH33" s="216"/>
      <c r="HQI33" s="216"/>
      <c r="HQJ33" s="216"/>
      <c r="HQK33" s="216"/>
      <c r="HQL33" s="216"/>
      <c r="HQM33" s="216"/>
      <c r="HQN33" s="216"/>
      <c r="HQO33" s="216"/>
      <c r="HQP33" s="216"/>
      <c r="HQQ33" s="216"/>
      <c r="HQR33" s="216"/>
      <c r="HQS33" s="216"/>
      <c r="HQT33" s="216"/>
      <c r="HQU33" s="216"/>
      <c r="HQV33" s="216"/>
      <c r="HQW33" s="216"/>
      <c r="HQX33" s="216"/>
      <c r="HQY33" s="216"/>
      <c r="HQZ33" s="216"/>
      <c r="HRA33" s="216"/>
      <c r="HRB33" s="216"/>
      <c r="HRC33" s="216"/>
      <c r="HRD33" s="216"/>
      <c r="HRE33" s="216"/>
      <c r="HRF33" s="216"/>
      <c r="HRG33" s="216"/>
      <c r="HRH33" s="216"/>
      <c r="HRI33" s="216"/>
      <c r="HRJ33" s="216"/>
      <c r="HRK33" s="216"/>
      <c r="HRL33" s="216"/>
      <c r="HRM33" s="216"/>
      <c r="HRN33" s="216"/>
      <c r="HRO33" s="216"/>
      <c r="HRP33" s="216"/>
      <c r="HRQ33" s="216"/>
      <c r="HRR33" s="216"/>
      <c r="HRS33" s="216"/>
      <c r="HRT33" s="216"/>
      <c r="HRU33" s="216"/>
      <c r="HRV33" s="216"/>
      <c r="HRW33" s="216"/>
      <c r="HRX33" s="216"/>
      <c r="HRY33" s="216"/>
      <c r="HRZ33" s="216"/>
      <c r="HSA33" s="216"/>
      <c r="HSB33" s="216"/>
      <c r="HSC33" s="216"/>
      <c r="HSD33" s="216"/>
      <c r="HSE33" s="216"/>
      <c r="HSF33" s="216"/>
      <c r="HSG33" s="216"/>
      <c r="HSH33" s="216"/>
      <c r="HSI33" s="216"/>
      <c r="HSJ33" s="216"/>
      <c r="HSK33" s="216"/>
      <c r="HSL33" s="216"/>
      <c r="HSM33" s="216"/>
      <c r="HSN33" s="216"/>
      <c r="HSO33" s="216"/>
      <c r="HSP33" s="216"/>
      <c r="HSQ33" s="216"/>
      <c r="HSR33" s="216"/>
      <c r="HSS33" s="216"/>
      <c r="HST33" s="216"/>
      <c r="HSU33" s="216"/>
      <c r="HSV33" s="216"/>
      <c r="HSW33" s="216"/>
      <c r="HSX33" s="216"/>
      <c r="HSY33" s="216"/>
      <c r="HSZ33" s="216"/>
      <c r="HTA33" s="216"/>
      <c r="HTB33" s="216"/>
      <c r="HTC33" s="216"/>
      <c r="HTD33" s="216"/>
      <c r="HTE33" s="216"/>
      <c r="HTF33" s="216"/>
      <c r="HTG33" s="216"/>
      <c r="HTH33" s="216"/>
      <c r="HTI33" s="216"/>
      <c r="HTJ33" s="216"/>
      <c r="HTK33" s="216"/>
      <c r="HTL33" s="216"/>
      <c r="HTM33" s="216"/>
      <c r="HTN33" s="216"/>
      <c r="HTO33" s="216"/>
      <c r="HTP33" s="216"/>
      <c r="HTQ33" s="216"/>
      <c r="HTR33" s="216"/>
      <c r="HTS33" s="216"/>
      <c r="HTT33" s="216"/>
      <c r="HTU33" s="216"/>
      <c r="HTV33" s="216"/>
      <c r="HTW33" s="216"/>
      <c r="HTX33" s="216"/>
      <c r="HTY33" s="216"/>
      <c r="HTZ33" s="216"/>
      <c r="HUA33" s="216"/>
      <c r="HUB33" s="216"/>
      <c r="HUC33" s="216"/>
      <c r="HUD33" s="216"/>
      <c r="HUE33" s="216"/>
      <c r="HUF33" s="216"/>
      <c r="HUG33" s="216"/>
      <c r="HUH33" s="216"/>
      <c r="HUI33" s="216"/>
      <c r="HUJ33" s="216"/>
      <c r="HUK33" s="216"/>
      <c r="HUL33" s="216"/>
      <c r="HUM33" s="216"/>
      <c r="HUN33" s="216"/>
      <c r="HUO33" s="216"/>
      <c r="HUP33" s="216"/>
      <c r="HUQ33" s="216"/>
      <c r="HUR33" s="216"/>
      <c r="HUS33" s="216"/>
      <c r="HUT33" s="216"/>
      <c r="HUU33" s="216"/>
      <c r="HUV33" s="216"/>
      <c r="HUW33" s="216"/>
      <c r="HUX33" s="216"/>
      <c r="HUY33" s="216"/>
      <c r="HUZ33" s="216"/>
      <c r="HVA33" s="216"/>
      <c r="HVB33" s="216"/>
      <c r="HVC33" s="216"/>
      <c r="HVD33" s="216"/>
      <c r="HVE33" s="216"/>
      <c r="HVF33" s="216"/>
      <c r="HVG33" s="216"/>
      <c r="HVH33" s="216"/>
      <c r="HVI33" s="216"/>
      <c r="HVJ33" s="216"/>
      <c r="HVK33" s="216"/>
      <c r="HVL33" s="216"/>
      <c r="HVM33" s="216"/>
      <c r="HVN33" s="216"/>
      <c r="HVO33" s="216"/>
      <c r="HVP33" s="216"/>
      <c r="HVQ33" s="216"/>
      <c r="HVR33" s="216"/>
      <c r="HVS33" s="216"/>
      <c r="HVT33" s="216"/>
      <c r="HVU33" s="216"/>
      <c r="HVV33" s="216"/>
      <c r="HVW33" s="216"/>
      <c r="HVX33" s="216"/>
      <c r="HVY33" s="216"/>
      <c r="HVZ33" s="216"/>
      <c r="HWA33" s="216"/>
      <c r="HWB33" s="216"/>
      <c r="HWC33" s="216"/>
      <c r="HWD33" s="216"/>
      <c r="HWE33" s="216"/>
      <c r="HWF33" s="216"/>
      <c r="HWG33" s="216"/>
      <c r="HWH33" s="216"/>
      <c r="HWI33" s="216"/>
      <c r="HWJ33" s="216"/>
      <c r="HWK33" s="216"/>
      <c r="HWL33" s="216"/>
      <c r="HWM33" s="216"/>
      <c r="HWN33" s="216"/>
      <c r="HWO33" s="216"/>
      <c r="HWP33" s="216"/>
      <c r="HWQ33" s="216"/>
      <c r="HWR33" s="216"/>
      <c r="HWS33" s="216"/>
      <c r="HWT33" s="216"/>
      <c r="HWU33" s="216"/>
      <c r="HWV33" s="216"/>
      <c r="HWW33" s="216"/>
      <c r="HWX33" s="216"/>
      <c r="HWY33" s="216"/>
      <c r="HWZ33" s="216"/>
      <c r="HXA33" s="216"/>
      <c r="HXB33" s="216"/>
      <c r="HXC33" s="216"/>
      <c r="HXD33" s="216"/>
      <c r="HXE33" s="216"/>
      <c r="HXF33" s="216"/>
      <c r="HXG33" s="216"/>
      <c r="HXH33" s="216"/>
      <c r="HXI33" s="216"/>
      <c r="HXJ33" s="216"/>
      <c r="HXK33" s="216"/>
      <c r="HXL33" s="216"/>
      <c r="HXM33" s="216"/>
      <c r="HXN33" s="216"/>
      <c r="HXO33" s="216"/>
      <c r="HXP33" s="216"/>
      <c r="HXQ33" s="216"/>
      <c r="HXR33" s="216"/>
      <c r="HXS33" s="216"/>
      <c r="HXT33" s="216"/>
      <c r="HXU33" s="216"/>
      <c r="HXV33" s="216"/>
      <c r="HXW33" s="216"/>
      <c r="HXX33" s="216"/>
      <c r="HXY33" s="216"/>
      <c r="HXZ33" s="216"/>
      <c r="HYA33" s="216"/>
      <c r="HYB33" s="216"/>
      <c r="HYC33" s="216"/>
      <c r="HYD33" s="216"/>
      <c r="HYE33" s="216"/>
      <c r="HYF33" s="216"/>
      <c r="HYG33" s="216"/>
      <c r="HYH33" s="216"/>
      <c r="HYI33" s="216"/>
      <c r="HYJ33" s="216"/>
      <c r="HYK33" s="216"/>
      <c r="HYL33" s="216"/>
      <c r="HYM33" s="216"/>
      <c r="HYN33" s="216"/>
      <c r="HYO33" s="216"/>
      <c r="HYP33" s="216"/>
      <c r="HYQ33" s="216"/>
      <c r="HYR33" s="216"/>
      <c r="HYS33" s="216"/>
      <c r="HYT33" s="216"/>
      <c r="HYU33" s="216"/>
      <c r="HYV33" s="216"/>
      <c r="HYW33" s="216"/>
      <c r="HYX33" s="216"/>
      <c r="HYY33" s="216"/>
      <c r="HYZ33" s="216"/>
      <c r="HZA33" s="216"/>
      <c r="HZB33" s="216"/>
      <c r="HZC33" s="216"/>
      <c r="HZD33" s="216"/>
      <c r="HZE33" s="216"/>
      <c r="HZF33" s="216"/>
      <c r="HZG33" s="216"/>
      <c r="HZH33" s="216"/>
      <c r="HZI33" s="216"/>
      <c r="HZJ33" s="216"/>
      <c r="HZK33" s="216"/>
      <c r="HZL33" s="216"/>
      <c r="HZM33" s="216"/>
      <c r="HZN33" s="216"/>
      <c r="HZO33" s="216"/>
      <c r="HZP33" s="216"/>
      <c r="HZQ33" s="216"/>
      <c r="HZR33" s="216"/>
      <c r="HZS33" s="216"/>
      <c r="HZT33" s="216"/>
      <c r="HZU33" s="216"/>
      <c r="HZV33" s="216"/>
      <c r="HZW33" s="216"/>
      <c r="HZX33" s="216"/>
      <c r="HZY33" s="216"/>
      <c r="HZZ33" s="216"/>
      <c r="IAA33" s="216"/>
      <c r="IAB33" s="216"/>
      <c r="IAC33" s="216"/>
      <c r="IAD33" s="216"/>
      <c r="IAE33" s="216"/>
      <c r="IAF33" s="216"/>
      <c r="IAG33" s="216"/>
      <c r="IAH33" s="216"/>
      <c r="IAI33" s="216"/>
      <c r="IAJ33" s="216"/>
      <c r="IAK33" s="216"/>
      <c r="IAL33" s="216"/>
      <c r="IAM33" s="216"/>
      <c r="IAN33" s="216"/>
      <c r="IAO33" s="216"/>
      <c r="IAP33" s="216"/>
      <c r="IAQ33" s="216"/>
      <c r="IAR33" s="216"/>
      <c r="IAS33" s="216"/>
      <c r="IAT33" s="216"/>
      <c r="IAU33" s="216"/>
      <c r="IAV33" s="216"/>
      <c r="IAW33" s="216"/>
      <c r="IAX33" s="216"/>
      <c r="IAY33" s="216"/>
      <c r="IAZ33" s="216"/>
      <c r="IBA33" s="216"/>
      <c r="IBB33" s="216"/>
      <c r="IBC33" s="216"/>
      <c r="IBD33" s="216"/>
      <c r="IBE33" s="216"/>
      <c r="IBF33" s="216"/>
      <c r="IBG33" s="216"/>
      <c r="IBH33" s="216"/>
      <c r="IBI33" s="216"/>
      <c r="IBJ33" s="216"/>
      <c r="IBK33" s="216"/>
      <c r="IBL33" s="216"/>
      <c r="IBM33" s="216"/>
      <c r="IBN33" s="216"/>
      <c r="IBO33" s="216"/>
      <c r="IBP33" s="216"/>
      <c r="IBQ33" s="216"/>
      <c r="IBR33" s="216"/>
      <c r="IBS33" s="216"/>
      <c r="IBT33" s="216"/>
      <c r="IBU33" s="216"/>
      <c r="IBV33" s="216"/>
      <c r="IBW33" s="216"/>
      <c r="IBX33" s="216"/>
      <c r="IBY33" s="216"/>
      <c r="IBZ33" s="216"/>
      <c r="ICA33" s="216"/>
      <c r="ICB33" s="216"/>
      <c r="ICC33" s="216"/>
      <c r="ICD33" s="216"/>
      <c r="ICE33" s="216"/>
      <c r="ICF33" s="216"/>
      <c r="ICG33" s="216"/>
      <c r="ICH33" s="216"/>
      <c r="ICI33" s="216"/>
      <c r="ICJ33" s="216"/>
      <c r="ICK33" s="216"/>
      <c r="ICL33" s="216"/>
      <c r="ICM33" s="216"/>
      <c r="ICN33" s="216"/>
      <c r="ICO33" s="216"/>
      <c r="ICP33" s="216"/>
      <c r="ICQ33" s="216"/>
      <c r="ICR33" s="216"/>
      <c r="ICS33" s="216"/>
      <c r="ICT33" s="216"/>
      <c r="ICU33" s="216"/>
      <c r="ICV33" s="216"/>
      <c r="ICW33" s="216"/>
      <c r="ICX33" s="216"/>
      <c r="ICY33" s="216"/>
      <c r="ICZ33" s="216"/>
      <c r="IDA33" s="216"/>
      <c r="IDB33" s="216"/>
      <c r="IDC33" s="216"/>
      <c r="IDD33" s="216"/>
      <c r="IDE33" s="216"/>
      <c r="IDF33" s="216"/>
      <c r="IDG33" s="216"/>
      <c r="IDH33" s="216"/>
      <c r="IDI33" s="216"/>
      <c r="IDJ33" s="216"/>
      <c r="IDK33" s="216"/>
      <c r="IDL33" s="216"/>
      <c r="IDM33" s="216"/>
      <c r="IDN33" s="216"/>
      <c r="IDO33" s="216"/>
      <c r="IDP33" s="216"/>
      <c r="IDQ33" s="216"/>
      <c r="IDR33" s="216"/>
      <c r="IDS33" s="216"/>
      <c r="IDT33" s="216"/>
      <c r="IDU33" s="216"/>
      <c r="IDV33" s="216"/>
      <c r="IDW33" s="216"/>
      <c r="IDX33" s="216"/>
      <c r="IDY33" s="216"/>
      <c r="IDZ33" s="216"/>
      <c r="IEA33" s="216"/>
      <c r="IEB33" s="216"/>
      <c r="IEC33" s="216"/>
      <c r="IED33" s="216"/>
      <c r="IEE33" s="216"/>
      <c r="IEF33" s="216"/>
      <c r="IEG33" s="216"/>
      <c r="IEH33" s="216"/>
      <c r="IEI33" s="216"/>
      <c r="IEJ33" s="216"/>
      <c r="IEK33" s="216"/>
      <c r="IEL33" s="216"/>
      <c r="IEM33" s="216"/>
      <c r="IEN33" s="216"/>
      <c r="IEO33" s="216"/>
      <c r="IEP33" s="216"/>
      <c r="IEQ33" s="216"/>
      <c r="IER33" s="216"/>
      <c r="IES33" s="216"/>
      <c r="IET33" s="216"/>
      <c r="IEU33" s="216"/>
      <c r="IEV33" s="216"/>
      <c r="IEW33" s="216"/>
      <c r="IEX33" s="216"/>
      <c r="IEY33" s="216"/>
      <c r="IEZ33" s="216"/>
      <c r="IFA33" s="216"/>
      <c r="IFB33" s="216"/>
      <c r="IFC33" s="216"/>
      <c r="IFD33" s="216"/>
      <c r="IFE33" s="216"/>
      <c r="IFF33" s="216"/>
      <c r="IFG33" s="216"/>
      <c r="IFH33" s="216"/>
      <c r="IFI33" s="216"/>
      <c r="IFJ33" s="216"/>
      <c r="IFK33" s="216"/>
      <c r="IFL33" s="216"/>
      <c r="IFM33" s="216"/>
      <c r="IFN33" s="216"/>
      <c r="IFO33" s="216"/>
      <c r="IFP33" s="216"/>
      <c r="IFQ33" s="216"/>
      <c r="IFR33" s="216"/>
      <c r="IFS33" s="216"/>
      <c r="IFT33" s="216"/>
      <c r="IFU33" s="216"/>
      <c r="IFV33" s="216"/>
      <c r="IFW33" s="216"/>
      <c r="IFX33" s="216"/>
      <c r="IFY33" s="216"/>
      <c r="IFZ33" s="216"/>
      <c r="IGA33" s="216"/>
      <c r="IGB33" s="216"/>
      <c r="IGC33" s="216"/>
      <c r="IGD33" s="216"/>
      <c r="IGE33" s="216"/>
      <c r="IGF33" s="216"/>
      <c r="IGG33" s="216"/>
      <c r="IGH33" s="216"/>
      <c r="IGI33" s="216"/>
      <c r="IGJ33" s="216"/>
      <c r="IGK33" s="216"/>
      <c r="IGL33" s="216"/>
      <c r="IGM33" s="216"/>
      <c r="IGN33" s="216"/>
      <c r="IGO33" s="216"/>
      <c r="IGP33" s="216"/>
      <c r="IGQ33" s="216"/>
      <c r="IGR33" s="216"/>
      <c r="IGS33" s="216"/>
      <c r="IGT33" s="216"/>
      <c r="IGU33" s="216"/>
      <c r="IGV33" s="216"/>
      <c r="IGW33" s="216"/>
      <c r="IGX33" s="216"/>
      <c r="IGY33" s="216"/>
      <c r="IGZ33" s="216"/>
      <c r="IHA33" s="216"/>
      <c r="IHB33" s="216"/>
      <c r="IHC33" s="216"/>
      <c r="IHD33" s="216"/>
      <c r="IHE33" s="216"/>
      <c r="IHF33" s="216"/>
      <c r="IHG33" s="216"/>
      <c r="IHH33" s="216"/>
      <c r="IHI33" s="216"/>
      <c r="IHJ33" s="216"/>
      <c r="IHK33" s="216"/>
      <c r="IHL33" s="216"/>
      <c r="IHM33" s="216"/>
      <c r="IHN33" s="216"/>
      <c r="IHO33" s="216"/>
      <c r="IHP33" s="216"/>
      <c r="IHQ33" s="216"/>
      <c r="IHR33" s="216"/>
      <c r="IHS33" s="216"/>
      <c r="IHT33" s="216"/>
      <c r="IHU33" s="216"/>
      <c r="IHV33" s="216"/>
      <c r="IHW33" s="216"/>
      <c r="IHX33" s="216"/>
      <c r="IHY33" s="216"/>
      <c r="IHZ33" s="216"/>
      <c r="IIA33" s="216"/>
      <c r="IIB33" s="216"/>
      <c r="IIC33" s="216"/>
      <c r="IID33" s="216"/>
      <c r="IIE33" s="216"/>
      <c r="IIF33" s="216"/>
      <c r="IIG33" s="216"/>
      <c r="IIH33" s="216"/>
      <c r="III33" s="216"/>
      <c r="IIJ33" s="216"/>
      <c r="IIK33" s="216"/>
      <c r="IIL33" s="216"/>
      <c r="IIM33" s="216"/>
      <c r="IIN33" s="216"/>
      <c r="IIO33" s="216"/>
      <c r="IIP33" s="216"/>
      <c r="IIQ33" s="216"/>
      <c r="IIR33" s="216"/>
      <c r="IIS33" s="216"/>
      <c r="IIT33" s="216"/>
      <c r="IIU33" s="216"/>
      <c r="IIV33" s="216"/>
      <c r="IIW33" s="216"/>
      <c r="IIX33" s="216"/>
      <c r="IIY33" s="216"/>
      <c r="IIZ33" s="216"/>
      <c r="IJA33" s="216"/>
      <c r="IJB33" s="216"/>
      <c r="IJC33" s="216"/>
      <c r="IJD33" s="216"/>
      <c r="IJE33" s="216"/>
      <c r="IJF33" s="216"/>
      <c r="IJG33" s="216"/>
      <c r="IJH33" s="216"/>
      <c r="IJI33" s="216"/>
      <c r="IJJ33" s="216"/>
      <c r="IJK33" s="216"/>
      <c r="IJL33" s="216"/>
      <c r="IJM33" s="216"/>
      <c r="IJN33" s="216"/>
      <c r="IJO33" s="216"/>
      <c r="IJP33" s="216"/>
      <c r="IJQ33" s="216"/>
      <c r="IJR33" s="216"/>
      <c r="IJS33" s="216"/>
      <c r="IJT33" s="216"/>
      <c r="IJU33" s="216"/>
      <c r="IJV33" s="216"/>
      <c r="IJW33" s="216"/>
      <c r="IJX33" s="216"/>
      <c r="IJY33" s="216"/>
      <c r="IJZ33" s="216"/>
      <c r="IKA33" s="216"/>
      <c r="IKB33" s="216"/>
      <c r="IKC33" s="216"/>
      <c r="IKD33" s="216"/>
      <c r="IKE33" s="216"/>
      <c r="IKF33" s="216"/>
      <c r="IKG33" s="216"/>
      <c r="IKH33" s="216"/>
      <c r="IKI33" s="216"/>
      <c r="IKJ33" s="216"/>
      <c r="IKK33" s="216"/>
      <c r="IKL33" s="216"/>
      <c r="IKM33" s="216"/>
      <c r="IKN33" s="216"/>
      <c r="IKO33" s="216"/>
      <c r="IKP33" s="216"/>
      <c r="IKQ33" s="216"/>
      <c r="IKR33" s="216"/>
      <c r="IKS33" s="216"/>
      <c r="IKT33" s="216"/>
      <c r="IKU33" s="216"/>
      <c r="IKV33" s="216"/>
      <c r="IKW33" s="216"/>
      <c r="IKX33" s="216"/>
      <c r="IKY33" s="216"/>
      <c r="IKZ33" s="216"/>
      <c r="ILA33" s="216"/>
      <c r="ILB33" s="216"/>
      <c r="ILC33" s="216"/>
      <c r="ILD33" s="216"/>
      <c r="ILE33" s="216"/>
      <c r="ILF33" s="216"/>
      <c r="ILG33" s="216"/>
      <c r="ILH33" s="216"/>
      <c r="ILI33" s="216"/>
      <c r="ILJ33" s="216"/>
      <c r="ILK33" s="216"/>
      <c r="ILL33" s="216"/>
      <c r="ILM33" s="216"/>
      <c r="ILN33" s="216"/>
      <c r="ILO33" s="216"/>
      <c r="ILP33" s="216"/>
      <c r="ILQ33" s="216"/>
      <c r="ILR33" s="216"/>
      <c r="ILS33" s="216"/>
      <c r="ILT33" s="216"/>
      <c r="ILU33" s="216"/>
      <c r="ILV33" s="216"/>
      <c r="ILW33" s="216"/>
      <c r="ILX33" s="216"/>
      <c r="ILY33" s="216"/>
      <c r="ILZ33" s="216"/>
      <c r="IMA33" s="216"/>
      <c r="IMB33" s="216"/>
      <c r="IMC33" s="216"/>
      <c r="IMD33" s="216"/>
      <c r="IME33" s="216"/>
      <c r="IMF33" s="216"/>
      <c r="IMG33" s="216"/>
      <c r="IMH33" s="216"/>
      <c r="IMI33" s="216"/>
      <c r="IMJ33" s="216"/>
      <c r="IMK33" s="216"/>
      <c r="IML33" s="216"/>
      <c r="IMM33" s="216"/>
      <c r="IMN33" s="216"/>
      <c r="IMO33" s="216"/>
      <c r="IMP33" s="216"/>
      <c r="IMQ33" s="216"/>
      <c r="IMR33" s="216"/>
      <c r="IMS33" s="216"/>
      <c r="IMT33" s="216"/>
      <c r="IMU33" s="216"/>
      <c r="IMV33" s="216"/>
      <c r="IMW33" s="216"/>
      <c r="IMX33" s="216"/>
      <c r="IMY33" s="216"/>
      <c r="IMZ33" s="216"/>
      <c r="INA33" s="216"/>
      <c r="INB33" s="216"/>
      <c r="INC33" s="216"/>
      <c r="IND33" s="216"/>
      <c r="INE33" s="216"/>
      <c r="INF33" s="216"/>
      <c r="ING33" s="216"/>
      <c r="INH33" s="216"/>
      <c r="INI33" s="216"/>
      <c r="INJ33" s="216"/>
      <c r="INK33" s="216"/>
      <c r="INL33" s="216"/>
      <c r="INM33" s="216"/>
      <c r="INN33" s="216"/>
      <c r="INO33" s="216"/>
      <c r="INP33" s="216"/>
      <c r="INQ33" s="216"/>
      <c r="INR33" s="216"/>
      <c r="INS33" s="216"/>
      <c r="INT33" s="216"/>
      <c r="INU33" s="216"/>
      <c r="INV33" s="216"/>
      <c r="INW33" s="216"/>
      <c r="INX33" s="216"/>
      <c r="INY33" s="216"/>
      <c r="INZ33" s="216"/>
      <c r="IOA33" s="216"/>
      <c r="IOB33" s="216"/>
      <c r="IOC33" s="216"/>
      <c r="IOD33" s="216"/>
      <c r="IOE33" s="216"/>
      <c r="IOF33" s="216"/>
      <c r="IOG33" s="216"/>
      <c r="IOH33" s="216"/>
      <c r="IOI33" s="216"/>
      <c r="IOJ33" s="216"/>
      <c r="IOK33" s="216"/>
      <c r="IOL33" s="216"/>
      <c r="IOM33" s="216"/>
      <c r="ION33" s="216"/>
      <c r="IOO33" s="216"/>
      <c r="IOP33" s="216"/>
      <c r="IOQ33" s="216"/>
      <c r="IOR33" s="216"/>
      <c r="IOS33" s="216"/>
      <c r="IOT33" s="216"/>
      <c r="IOU33" s="216"/>
      <c r="IOV33" s="216"/>
      <c r="IOW33" s="216"/>
      <c r="IOX33" s="216"/>
      <c r="IOY33" s="216"/>
      <c r="IOZ33" s="216"/>
      <c r="IPA33" s="216"/>
      <c r="IPB33" s="216"/>
      <c r="IPC33" s="216"/>
      <c r="IPD33" s="216"/>
      <c r="IPE33" s="216"/>
      <c r="IPF33" s="216"/>
      <c r="IPG33" s="216"/>
      <c r="IPH33" s="216"/>
      <c r="IPI33" s="216"/>
      <c r="IPJ33" s="216"/>
      <c r="IPK33" s="216"/>
      <c r="IPL33" s="216"/>
      <c r="IPM33" s="216"/>
      <c r="IPN33" s="216"/>
      <c r="IPO33" s="216"/>
      <c r="IPP33" s="216"/>
      <c r="IPQ33" s="216"/>
      <c r="IPR33" s="216"/>
      <c r="IPS33" s="216"/>
      <c r="IPT33" s="216"/>
      <c r="IPU33" s="216"/>
      <c r="IPV33" s="216"/>
      <c r="IPW33" s="216"/>
      <c r="IPX33" s="216"/>
      <c r="IPY33" s="216"/>
      <c r="IPZ33" s="216"/>
      <c r="IQA33" s="216"/>
      <c r="IQB33" s="216"/>
      <c r="IQC33" s="216"/>
      <c r="IQD33" s="216"/>
      <c r="IQE33" s="216"/>
      <c r="IQF33" s="216"/>
      <c r="IQG33" s="216"/>
      <c r="IQH33" s="216"/>
      <c r="IQI33" s="216"/>
      <c r="IQJ33" s="216"/>
      <c r="IQK33" s="216"/>
      <c r="IQL33" s="216"/>
      <c r="IQM33" s="216"/>
      <c r="IQN33" s="216"/>
      <c r="IQO33" s="216"/>
      <c r="IQP33" s="216"/>
      <c r="IQQ33" s="216"/>
      <c r="IQR33" s="216"/>
      <c r="IQS33" s="216"/>
      <c r="IQT33" s="216"/>
      <c r="IQU33" s="216"/>
      <c r="IQV33" s="216"/>
      <c r="IQW33" s="216"/>
      <c r="IQX33" s="216"/>
      <c r="IQY33" s="216"/>
      <c r="IQZ33" s="216"/>
      <c r="IRA33" s="216"/>
      <c r="IRB33" s="216"/>
      <c r="IRC33" s="216"/>
      <c r="IRD33" s="216"/>
      <c r="IRE33" s="216"/>
      <c r="IRF33" s="216"/>
      <c r="IRG33" s="216"/>
      <c r="IRH33" s="216"/>
      <c r="IRI33" s="216"/>
      <c r="IRJ33" s="216"/>
      <c r="IRK33" s="216"/>
      <c r="IRL33" s="216"/>
      <c r="IRM33" s="216"/>
      <c r="IRN33" s="216"/>
      <c r="IRO33" s="216"/>
      <c r="IRP33" s="216"/>
      <c r="IRQ33" s="216"/>
      <c r="IRR33" s="216"/>
      <c r="IRS33" s="216"/>
      <c r="IRT33" s="216"/>
      <c r="IRU33" s="216"/>
      <c r="IRV33" s="216"/>
      <c r="IRW33" s="216"/>
      <c r="IRX33" s="216"/>
      <c r="IRY33" s="216"/>
      <c r="IRZ33" s="216"/>
      <c r="ISA33" s="216"/>
      <c r="ISB33" s="216"/>
      <c r="ISC33" s="216"/>
      <c r="ISD33" s="216"/>
      <c r="ISE33" s="216"/>
      <c r="ISF33" s="216"/>
      <c r="ISG33" s="216"/>
      <c r="ISH33" s="216"/>
      <c r="ISI33" s="216"/>
      <c r="ISJ33" s="216"/>
      <c r="ISK33" s="216"/>
      <c r="ISL33" s="216"/>
      <c r="ISM33" s="216"/>
      <c r="ISN33" s="216"/>
      <c r="ISO33" s="216"/>
      <c r="ISP33" s="216"/>
      <c r="ISQ33" s="216"/>
      <c r="ISR33" s="216"/>
      <c r="ISS33" s="216"/>
      <c r="IST33" s="216"/>
      <c r="ISU33" s="216"/>
      <c r="ISV33" s="216"/>
      <c r="ISW33" s="216"/>
      <c r="ISX33" s="216"/>
      <c r="ISY33" s="216"/>
      <c r="ISZ33" s="216"/>
      <c r="ITA33" s="216"/>
      <c r="ITB33" s="216"/>
      <c r="ITC33" s="216"/>
      <c r="ITD33" s="216"/>
      <c r="ITE33" s="216"/>
      <c r="ITF33" s="216"/>
      <c r="ITG33" s="216"/>
      <c r="ITH33" s="216"/>
      <c r="ITI33" s="216"/>
      <c r="ITJ33" s="216"/>
      <c r="ITK33" s="216"/>
      <c r="ITL33" s="216"/>
      <c r="ITM33" s="216"/>
      <c r="ITN33" s="216"/>
      <c r="ITO33" s="216"/>
      <c r="ITP33" s="216"/>
      <c r="ITQ33" s="216"/>
      <c r="ITR33" s="216"/>
      <c r="ITS33" s="216"/>
      <c r="ITT33" s="216"/>
      <c r="ITU33" s="216"/>
      <c r="ITV33" s="216"/>
      <c r="ITW33" s="216"/>
      <c r="ITX33" s="216"/>
      <c r="ITY33" s="216"/>
      <c r="ITZ33" s="216"/>
      <c r="IUA33" s="216"/>
      <c r="IUB33" s="216"/>
      <c r="IUC33" s="216"/>
      <c r="IUD33" s="216"/>
      <c r="IUE33" s="216"/>
      <c r="IUF33" s="216"/>
      <c r="IUG33" s="216"/>
      <c r="IUH33" s="216"/>
      <c r="IUI33" s="216"/>
      <c r="IUJ33" s="216"/>
      <c r="IUK33" s="216"/>
      <c r="IUL33" s="216"/>
      <c r="IUM33" s="216"/>
      <c r="IUN33" s="216"/>
      <c r="IUO33" s="216"/>
      <c r="IUP33" s="216"/>
      <c r="IUQ33" s="216"/>
      <c r="IUR33" s="216"/>
      <c r="IUS33" s="216"/>
      <c r="IUT33" s="216"/>
      <c r="IUU33" s="216"/>
      <c r="IUV33" s="216"/>
      <c r="IUW33" s="216"/>
      <c r="IUX33" s="216"/>
      <c r="IUY33" s="216"/>
      <c r="IUZ33" s="216"/>
      <c r="IVA33" s="216"/>
      <c r="IVB33" s="216"/>
      <c r="IVC33" s="216"/>
      <c r="IVD33" s="216"/>
      <c r="IVE33" s="216"/>
      <c r="IVF33" s="216"/>
      <c r="IVG33" s="216"/>
      <c r="IVH33" s="216"/>
      <c r="IVI33" s="216"/>
      <c r="IVJ33" s="216"/>
      <c r="IVK33" s="216"/>
      <c r="IVL33" s="216"/>
      <c r="IVM33" s="216"/>
      <c r="IVN33" s="216"/>
      <c r="IVO33" s="216"/>
      <c r="IVP33" s="216"/>
      <c r="IVQ33" s="216"/>
      <c r="IVR33" s="216"/>
      <c r="IVS33" s="216"/>
      <c r="IVT33" s="216"/>
      <c r="IVU33" s="216"/>
      <c r="IVV33" s="216"/>
      <c r="IVW33" s="216"/>
      <c r="IVX33" s="216"/>
      <c r="IVY33" s="216"/>
      <c r="IVZ33" s="216"/>
      <c r="IWA33" s="216"/>
      <c r="IWB33" s="216"/>
      <c r="IWC33" s="216"/>
      <c r="IWD33" s="216"/>
      <c r="IWE33" s="216"/>
      <c r="IWF33" s="216"/>
      <c r="IWG33" s="216"/>
      <c r="IWH33" s="216"/>
      <c r="IWI33" s="216"/>
      <c r="IWJ33" s="216"/>
      <c r="IWK33" s="216"/>
      <c r="IWL33" s="216"/>
      <c r="IWM33" s="216"/>
      <c r="IWN33" s="216"/>
      <c r="IWO33" s="216"/>
      <c r="IWP33" s="216"/>
      <c r="IWQ33" s="216"/>
      <c r="IWR33" s="216"/>
      <c r="IWS33" s="216"/>
      <c r="IWT33" s="216"/>
      <c r="IWU33" s="216"/>
      <c r="IWV33" s="216"/>
      <c r="IWW33" s="216"/>
      <c r="IWX33" s="216"/>
      <c r="IWY33" s="216"/>
      <c r="IWZ33" s="216"/>
      <c r="IXA33" s="216"/>
      <c r="IXB33" s="216"/>
      <c r="IXC33" s="216"/>
      <c r="IXD33" s="216"/>
      <c r="IXE33" s="216"/>
      <c r="IXF33" s="216"/>
      <c r="IXG33" s="216"/>
      <c r="IXH33" s="216"/>
      <c r="IXI33" s="216"/>
      <c r="IXJ33" s="216"/>
      <c r="IXK33" s="216"/>
      <c r="IXL33" s="216"/>
      <c r="IXM33" s="216"/>
      <c r="IXN33" s="216"/>
      <c r="IXO33" s="216"/>
      <c r="IXP33" s="216"/>
      <c r="IXQ33" s="216"/>
      <c r="IXR33" s="216"/>
      <c r="IXS33" s="216"/>
      <c r="IXT33" s="216"/>
      <c r="IXU33" s="216"/>
      <c r="IXV33" s="216"/>
      <c r="IXW33" s="216"/>
      <c r="IXX33" s="216"/>
      <c r="IXY33" s="216"/>
      <c r="IXZ33" s="216"/>
      <c r="IYA33" s="216"/>
      <c r="IYB33" s="216"/>
      <c r="IYC33" s="216"/>
      <c r="IYD33" s="216"/>
      <c r="IYE33" s="216"/>
      <c r="IYF33" s="216"/>
      <c r="IYG33" s="216"/>
      <c r="IYH33" s="216"/>
      <c r="IYI33" s="216"/>
      <c r="IYJ33" s="216"/>
      <c r="IYK33" s="216"/>
      <c r="IYL33" s="216"/>
      <c r="IYM33" s="216"/>
      <c r="IYN33" s="216"/>
      <c r="IYO33" s="216"/>
      <c r="IYP33" s="216"/>
      <c r="IYQ33" s="216"/>
      <c r="IYR33" s="216"/>
      <c r="IYS33" s="216"/>
      <c r="IYT33" s="216"/>
      <c r="IYU33" s="216"/>
      <c r="IYV33" s="216"/>
      <c r="IYW33" s="216"/>
      <c r="IYX33" s="216"/>
      <c r="IYY33" s="216"/>
      <c r="IYZ33" s="216"/>
      <c r="IZA33" s="216"/>
      <c r="IZB33" s="216"/>
      <c r="IZC33" s="216"/>
      <c r="IZD33" s="216"/>
      <c r="IZE33" s="216"/>
      <c r="IZF33" s="216"/>
      <c r="IZG33" s="216"/>
      <c r="IZH33" s="216"/>
      <c r="IZI33" s="216"/>
      <c r="IZJ33" s="216"/>
      <c r="IZK33" s="216"/>
      <c r="IZL33" s="216"/>
      <c r="IZM33" s="216"/>
      <c r="IZN33" s="216"/>
      <c r="IZO33" s="216"/>
      <c r="IZP33" s="216"/>
      <c r="IZQ33" s="216"/>
      <c r="IZR33" s="216"/>
      <c r="IZS33" s="216"/>
      <c r="IZT33" s="216"/>
      <c r="IZU33" s="216"/>
      <c r="IZV33" s="216"/>
      <c r="IZW33" s="216"/>
      <c r="IZX33" s="216"/>
      <c r="IZY33" s="216"/>
      <c r="IZZ33" s="216"/>
      <c r="JAA33" s="216"/>
      <c r="JAB33" s="216"/>
      <c r="JAC33" s="216"/>
      <c r="JAD33" s="216"/>
      <c r="JAE33" s="216"/>
      <c r="JAF33" s="216"/>
      <c r="JAG33" s="216"/>
      <c r="JAH33" s="216"/>
      <c r="JAI33" s="216"/>
      <c r="JAJ33" s="216"/>
      <c r="JAK33" s="216"/>
      <c r="JAL33" s="216"/>
      <c r="JAM33" s="216"/>
      <c r="JAN33" s="216"/>
      <c r="JAO33" s="216"/>
      <c r="JAP33" s="216"/>
      <c r="JAQ33" s="216"/>
      <c r="JAR33" s="216"/>
      <c r="JAS33" s="216"/>
      <c r="JAT33" s="216"/>
      <c r="JAU33" s="216"/>
      <c r="JAV33" s="216"/>
      <c r="JAW33" s="216"/>
      <c r="JAX33" s="216"/>
      <c r="JAY33" s="216"/>
      <c r="JAZ33" s="216"/>
      <c r="JBA33" s="216"/>
      <c r="JBB33" s="216"/>
      <c r="JBC33" s="216"/>
      <c r="JBD33" s="216"/>
      <c r="JBE33" s="216"/>
      <c r="JBF33" s="216"/>
      <c r="JBG33" s="216"/>
      <c r="JBH33" s="216"/>
      <c r="JBI33" s="216"/>
      <c r="JBJ33" s="216"/>
      <c r="JBK33" s="216"/>
      <c r="JBL33" s="216"/>
      <c r="JBM33" s="216"/>
      <c r="JBN33" s="216"/>
      <c r="JBO33" s="216"/>
      <c r="JBP33" s="216"/>
      <c r="JBQ33" s="216"/>
      <c r="JBR33" s="216"/>
      <c r="JBS33" s="216"/>
      <c r="JBT33" s="216"/>
      <c r="JBU33" s="216"/>
      <c r="JBV33" s="216"/>
      <c r="JBW33" s="216"/>
      <c r="JBX33" s="216"/>
      <c r="JBY33" s="216"/>
      <c r="JBZ33" s="216"/>
      <c r="JCA33" s="216"/>
      <c r="JCB33" s="216"/>
      <c r="JCC33" s="216"/>
      <c r="JCD33" s="216"/>
      <c r="JCE33" s="216"/>
      <c r="JCF33" s="216"/>
      <c r="JCG33" s="216"/>
      <c r="JCH33" s="216"/>
      <c r="JCI33" s="216"/>
      <c r="JCJ33" s="216"/>
      <c r="JCK33" s="216"/>
      <c r="JCL33" s="216"/>
      <c r="JCM33" s="216"/>
      <c r="JCN33" s="216"/>
      <c r="JCO33" s="216"/>
      <c r="JCP33" s="216"/>
      <c r="JCQ33" s="216"/>
      <c r="JCR33" s="216"/>
      <c r="JCS33" s="216"/>
      <c r="JCT33" s="216"/>
      <c r="JCU33" s="216"/>
      <c r="JCV33" s="216"/>
      <c r="JCW33" s="216"/>
      <c r="JCX33" s="216"/>
      <c r="JCY33" s="216"/>
      <c r="JCZ33" s="216"/>
      <c r="JDA33" s="216"/>
      <c r="JDB33" s="216"/>
      <c r="JDC33" s="216"/>
      <c r="JDD33" s="216"/>
      <c r="JDE33" s="216"/>
      <c r="JDF33" s="216"/>
      <c r="JDG33" s="216"/>
      <c r="JDH33" s="216"/>
      <c r="JDI33" s="216"/>
      <c r="JDJ33" s="216"/>
      <c r="JDK33" s="216"/>
      <c r="JDL33" s="216"/>
      <c r="JDM33" s="216"/>
      <c r="JDN33" s="216"/>
      <c r="JDO33" s="216"/>
      <c r="JDP33" s="216"/>
      <c r="JDQ33" s="216"/>
      <c r="JDR33" s="216"/>
      <c r="JDS33" s="216"/>
      <c r="JDT33" s="216"/>
      <c r="JDU33" s="216"/>
      <c r="JDV33" s="216"/>
      <c r="JDW33" s="216"/>
      <c r="JDX33" s="216"/>
      <c r="JDY33" s="216"/>
      <c r="JDZ33" s="216"/>
      <c r="JEA33" s="216"/>
      <c r="JEB33" s="216"/>
      <c r="JEC33" s="216"/>
      <c r="JED33" s="216"/>
      <c r="JEE33" s="216"/>
      <c r="JEF33" s="216"/>
      <c r="JEG33" s="216"/>
      <c r="JEH33" s="216"/>
      <c r="JEI33" s="216"/>
      <c r="JEJ33" s="216"/>
      <c r="JEK33" s="216"/>
      <c r="JEL33" s="216"/>
      <c r="JEM33" s="216"/>
      <c r="JEN33" s="216"/>
      <c r="JEO33" s="216"/>
      <c r="JEP33" s="216"/>
      <c r="JEQ33" s="216"/>
      <c r="JER33" s="216"/>
      <c r="JES33" s="216"/>
      <c r="JET33" s="216"/>
      <c r="JEU33" s="216"/>
      <c r="JEV33" s="216"/>
      <c r="JEW33" s="216"/>
      <c r="JEX33" s="216"/>
      <c r="JEY33" s="216"/>
      <c r="JEZ33" s="216"/>
      <c r="JFA33" s="216"/>
      <c r="JFB33" s="216"/>
      <c r="JFC33" s="216"/>
      <c r="JFD33" s="216"/>
      <c r="JFE33" s="216"/>
      <c r="JFF33" s="216"/>
      <c r="JFG33" s="216"/>
      <c r="JFH33" s="216"/>
      <c r="JFI33" s="216"/>
      <c r="JFJ33" s="216"/>
      <c r="JFK33" s="216"/>
      <c r="JFL33" s="216"/>
      <c r="JFM33" s="216"/>
      <c r="JFN33" s="216"/>
      <c r="JFO33" s="216"/>
      <c r="JFP33" s="216"/>
      <c r="JFQ33" s="216"/>
      <c r="JFR33" s="216"/>
      <c r="JFS33" s="216"/>
      <c r="JFT33" s="216"/>
      <c r="JFU33" s="216"/>
      <c r="JFV33" s="216"/>
      <c r="JFW33" s="216"/>
      <c r="JFX33" s="216"/>
      <c r="JFY33" s="216"/>
      <c r="JFZ33" s="216"/>
      <c r="JGA33" s="216"/>
      <c r="JGB33" s="216"/>
      <c r="JGC33" s="216"/>
      <c r="JGD33" s="216"/>
      <c r="JGE33" s="216"/>
      <c r="JGF33" s="216"/>
      <c r="JGG33" s="216"/>
      <c r="JGH33" s="216"/>
      <c r="JGI33" s="216"/>
      <c r="JGJ33" s="216"/>
      <c r="JGK33" s="216"/>
      <c r="JGL33" s="216"/>
      <c r="JGM33" s="216"/>
      <c r="JGN33" s="216"/>
      <c r="JGO33" s="216"/>
      <c r="JGP33" s="216"/>
      <c r="JGQ33" s="216"/>
      <c r="JGR33" s="216"/>
      <c r="JGS33" s="216"/>
      <c r="JGT33" s="216"/>
      <c r="JGU33" s="216"/>
      <c r="JGV33" s="216"/>
      <c r="JGW33" s="216"/>
      <c r="JGX33" s="216"/>
      <c r="JGY33" s="216"/>
      <c r="JGZ33" s="216"/>
      <c r="JHA33" s="216"/>
      <c r="JHB33" s="216"/>
      <c r="JHC33" s="216"/>
      <c r="JHD33" s="216"/>
      <c r="JHE33" s="216"/>
      <c r="JHF33" s="216"/>
      <c r="JHG33" s="216"/>
      <c r="JHH33" s="216"/>
      <c r="JHI33" s="216"/>
      <c r="JHJ33" s="216"/>
      <c r="JHK33" s="216"/>
      <c r="JHL33" s="216"/>
      <c r="JHM33" s="216"/>
      <c r="JHN33" s="216"/>
      <c r="JHO33" s="216"/>
      <c r="JHP33" s="216"/>
      <c r="JHQ33" s="216"/>
      <c r="JHR33" s="216"/>
      <c r="JHS33" s="216"/>
      <c r="JHT33" s="216"/>
      <c r="JHU33" s="216"/>
      <c r="JHV33" s="216"/>
      <c r="JHW33" s="216"/>
      <c r="JHX33" s="216"/>
      <c r="JHY33" s="216"/>
      <c r="JHZ33" s="216"/>
      <c r="JIA33" s="216"/>
      <c r="JIB33" s="216"/>
      <c r="JIC33" s="216"/>
      <c r="JID33" s="216"/>
      <c r="JIE33" s="216"/>
      <c r="JIF33" s="216"/>
      <c r="JIG33" s="216"/>
      <c r="JIH33" s="216"/>
      <c r="JII33" s="216"/>
      <c r="JIJ33" s="216"/>
      <c r="JIK33" s="216"/>
      <c r="JIL33" s="216"/>
      <c r="JIM33" s="216"/>
      <c r="JIN33" s="216"/>
      <c r="JIO33" s="216"/>
      <c r="JIP33" s="216"/>
      <c r="JIQ33" s="216"/>
      <c r="JIR33" s="216"/>
      <c r="JIS33" s="216"/>
      <c r="JIT33" s="216"/>
      <c r="JIU33" s="216"/>
      <c r="JIV33" s="216"/>
      <c r="JIW33" s="216"/>
      <c r="JIX33" s="216"/>
      <c r="JIY33" s="216"/>
      <c r="JIZ33" s="216"/>
      <c r="JJA33" s="216"/>
      <c r="JJB33" s="216"/>
      <c r="JJC33" s="216"/>
      <c r="JJD33" s="216"/>
      <c r="JJE33" s="216"/>
      <c r="JJF33" s="216"/>
      <c r="JJG33" s="216"/>
      <c r="JJH33" s="216"/>
      <c r="JJI33" s="216"/>
      <c r="JJJ33" s="216"/>
      <c r="JJK33" s="216"/>
      <c r="JJL33" s="216"/>
      <c r="JJM33" s="216"/>
      <c r="JJN33" s="216"/>
      <c r="JJO33" s="216"/>
      <c r="JJP33" s="216"/>
      <c r="JJQ33" s="216"/>
      <c r="JJR33" s="216"/>
      <c r="JJS33" s="216"/>
      <c r="JJT33" s="216"/>
      <c r="JJU33" s="216"/>
      <c r="JJV33" s="216"/>
      <c r="JJW33" s="216"/>
      <c r="JJX33" s="216"/>
      <c r="JJY33" s="216"/>
      <c r="JJZ33" s="216"/>
      <c r="JKA33" s="216"/>
      <c r="JKB33" s="216"/>
      <c r="JKC33" s="216"/>
      <c r="JKD33" s="216"/>
      <c r="JKE33" s="216"/>
      <c r="JKF33" s="216"/>
      <c r="JKG33" s="216"/>
      <c r="JKH33" s="216"/>
      <c r="JKI33" s="216"/>
      <c r="JKJ33" s="216"/>
      <c r="JKK33" s="216"/>
      <c r="JKL33" s="216"/>
      <c r="JKM33" s="216"/>
      <c r="JKN33" s="216"/>
      <c r="JKO33" s="216"/>
      <c r="JKP33" s="216"/>
      <c r="JKQ33" s="216"/>
      <c r="JKR33" s="216"/>
      <c r="JKS33" s="216"/>
      <c r="JKT33" s="216"/>
      <c r="JKU33" s="216"/>
      <c r="JKV33" s="216"/>
      <c r="JKW33" s="216"/>
      <c r="JKX33" s="216"/>
      <c r="JKY33" s="216"/>
      <c r="JKZ33" s="216"/>
      <c r="JLA33" s="216"/>
      <c r="JLB33" s="216"/>
      <c r="JLC33" s="216"/>
      <c r="JLD33" s="216"/>
      <c r="JLE33" s="216"/>
      <c r="JLF33" s="216"/>
      <c r="JLG33" s="216"/>
      <c r="JLH33" s="216"/>
      <c r="JLI33" s="216"/>
      <c r="JLJ33" s="216"/>
      <c r="JLK33" s="216"/>
      <c r="JLL33" s="216"/>
      <c r="JLM33" s="216"/>
      <c r="JLN33" s="216"/>
      <c r="JLO33" s="216"/>
      <c r="JLP33" s="216"/>
      <c r="JLQ33" s="216"/>
      <c r="JLR33" s="216"/>
      <c r="JLS33" s="216"/>
      <c r="JLT33" s="216"/>
      <c r="JLU33" s="216"/>
      <c r="JLV33" s="216"/>
      <c r="JLW33" s="216"/>
      <c r="JLX33" s="216"/>
      <c r="JLY33" s="216"/>
      <c r="JLZ33" s="216"/>
      <c r="JMA33" s="216"/>
      <c r="JMB33" s="216"/>
      <c r="JMC33" s="216"/>
      <c r="JMD33" s="216"/>
      <c r="JME33" s="216"/>
      <c r="JMF33" s="216"/>
      <c r="JMG33" s="216"/>
      <c r="JMH33" s="216"/>
      <c r="JMI33" s="216"/>
      <c r="JMJ33" s="216"/>
      <c r="JMK33" s="216"/>
      <c r="JML33" s="216"/>
      <c r="JMM33" s="216"/>
      <c r="JMN33" s="216"/>
      <c r="JMO33" s="216"/>
      <c r="JMP33" s="216"/>
      <c r="JMQ33" s="216"/>
      <c r="JMR33" s="216"/>
      <c r="JMS33" s="216"/>
      <c r="JMT33" s="216"/>
      <c r="JMU33" s="216"/>
      <c r="JMV33" s="216"/>
      <c r="JMW33" s="216"/>
      <c r="JMX33" s="216"/>
      <c r="JMY33" s="216"/>
      <c r="JMZ33" s="216"/>
      <c r="JNA33" s="216"/>
      <c r="JNB33" s="216"/>
      <c r="JNC33" s="216"/>
      <c r="JND33" s="216"/>
      <c r="JNE33" s="216"/>
      <c r="JNF33" s="216"/>
      <c r="JNG33" s="216"/>
      <c r="JNH33" s="216"/>
      <c r="JNI33" s="216"/>
      <c r="JNJ33" s="216"/>
      <c r="JNK33" s="216"/>
      <c r="JNL33" s="216"/>
      <c r="JNM33" s="216"/>
      <c r="JNN33" s="216"/>
      <c r="JNO33" s="216"/>
      <c r="JNP33" s="216"/>
      <c r="JNQ33" s="216"/>
      <c r="JNR33" s="216"/>
      <c r="JNS33" s="216"/>
      <c r="JNT33" s="216"/>
      <c r="JNU33" s="216"/>
      <c r="JNV33" s="216"/>
      <c r="JNW33" s="216"/>
      <c r="JNX33" s="216"/>
      <c r="JNY33" s="216"/>
      <c r="JNZ33" s="216"/>
      <c r="JOA33" s="216"/>
      <c r="JOB33" s="216"/>
      <c r="JOC33" s="216"/>
      <c r="JOD33" s="216"/>
      <c r="JOE33" s="216"/>
      <c r="JOF33" s="216"/>
      <c r="JOG33" s="216"/>
      <c r="JOH33" s="216"/>
      <c r="JOI33" s="216"/>
      <c r="JOJ33" s="216"/>
      <c r="JOK33" s="216"/>
      <c r="JOL33" s="216"/>
      <c r="JOM33" s="216"/>
      <c r="JON33" s="216"/>
      <c r="JOO33" s="216"/>
      <c r="JOP33" s="216"/>
      <c r="JOQ33" s="216"/>
      <c r="JOR33" s="216"/>
      <c r="JOS33" s="216"/>
      <c r="JOT33" s="216"/>
      <c r="JOU33" s="216"/>
      <c r="JOV33" s="216"/>
      <c r="JOW33" s="216"/>
      <c r="JOX33" s="216"/>
      <c r="JOY33" s="216"/>
      <c r="JOZ33" s="216"/>
      <c r="JPA33" s="216"/>
      <c r="JPB33" s="216"/>
      <c r="JPC33" s="216"/>
      <c r="JPD33" s="216"/>
      <c r="JPE33" s="216"/>
      <c r="JPF33" s="216"/>
      <c r="JPG33" s="216"/>
      <c r="JPH33" s="216"/>
      <c r="JPI33" s="216"/>
      <c r="JPJ33" s="216"/>
      <c r="JPK33" s="216"/>
      <c r="JPL33" s="216"/>
      <c r="JPM33" s="216"/>
      <c r="JPN33" s="216"/>
      <c r="JPO33" s="216"/>
      <c r="JPP33" s="216"/>
      <c r="JPQ33" s="216"/>
      <c r="JPR33" s="216"/>
      <c r="JPS33" s="216"/>
      <c r="JPT33" s="216"/>
      <c r="JPU33" s="216"/>
      <c r="JPV33" s="216"/>
      <c r="JPW33" s="216"/>
      <c r="JPX33" s="216"/>
      <c r="JPY33" s="216"/>
      <c r="JPZ33" s="216"/>
      <c r="JQA33" s="216"/>
      <c r="JQB33" s="216"/>
      <c r="JQC33" s="216"/>
      <c r="JQD33" s="216"/>
      <c r="JQE33" s="216"/>
      <c r="JQF33" s="216"/>
      <c r="JQG33" s="216"/>
      <c r="JQH33" s="216"/>
      <c r="JQI33" s="216"/>
      <c r="JQJ33" s="216"/>
      <c r="JQK33" s="216"/>
      <c r="JQL33" s="216"/>
      <c r="JQM33" s="216"/>
      <c r="JQN33" s="216"/>
      <c r="JQO33" s="216"/>
      <c r="JQP33" s="216"/>
      <c r="JQQ33" s="216"/>
      <c r="JQR33" s="216"/>
      <c r="JQS33" s="216"/>
      <c r="JQT33" s="216"/>
      <c r="JQU33" s="216"/>
      <c r="JQV33" s="216"/>
      <c r="JQW33" s="216"/>
      <c r="JQX33" s="216"/>
      <c r="JQY33" s="216"/>
      <c r="JQZ33" s="216"/>
      <c r="JRA33" s="216"/>
      <c r="JRB33" s="216"/>
      <c r="JRC33" s="216"/>
      <c r="JRD33" s="216"/>
      <c r="JRE33" s="216"/>
      <c r="JRF33" s="216"/>
      <c r="JRG33" s="216"/>
      <c r="JRH33" s="216"/>
      <c r="JRI33" s="216"/>
      <c r="JRJ33" s="216"/>
      <c r="JRK33" s="216"/>
      <c r="JRL33" s="216"/>
      <c r="JRM33" s="216"/>
      <c r="JRN33" s="216"/>
      <c r="JRO33" s="216"/>
      <c r="JRP33" s="216"/>
      <c r="JRQ33" s="216"/>
      <c r="JRR33" s="216"/>
      <c r="JRS33" s="216"/>
      <c r="JRT33" s="216"/>
      <c r="JRU33" s="216"/>
      <c r="JRV33" s="216"/>
      <c r="JRW33" s="216"/>
      <c r="JRX33" s="216"/>
      <c r="JRY33" s="216"/>
      <c r="JRZ33" s="216"/>
      <c r="JSA33" s="216"/>
      <c r="JSB33" s="216"/>
      <c r="JSC33" s="216"/>
      <c r="JSD33" s="216"/>
      <c r="JSE33" s="216"/>
      <c r="JSF33" s="216"/>
      <c r="JSG33" s="216"/>
      <c r="JSH33" s="216"/>
      <c r="JSI33" s="216"/>
      <c r="JSJ33" s="216"/>
      <c r="JSK33" s="216"/>
      <c r="JSL33" s="216"/>
      <c r="JSM33" s="216"/>
      <c r="JSN33" s="216"/>
      <c r="JSO33" s="216"/>
      <c r="JSP33" s="216"/>
      <c r="JSQ33" s="216"/>
      <c r="JSR33" s="216"/>
      <c r="JSS33" s="216"/>
      <c r="JST33" s="216"/>
      <c r="JSU33" s="216"/>
      <c r="JSV33" s="216"/>
      <c r="JSW33" s="216"/>
      <c r="JSX33" s="216"/>
      <c r="JSY33" s="216"/>
      <c r="JSZ33" s="216"/>
      <c r="JTA33" s="216"/>
      <c r="JTB33" s="216"/>
      <c r="JTC33" s="216"/>
      <c r="JTD33" s="216"/>
      <c r="JTE33" s="216"/>
      <c r="JTF33" s="216"/>
      <c r="JTG33" s="216"/>
      <c r="JTH33" s="216"/>
      <c r="JTI33" s="216"/>
      <c r="JTJ33" s="216"/>
      <c r="JTK33" s="216"/>
      <c r="JTL33" s="216"/>
      <c r="JTM33" s="216"/>
      <c r="JTN33" s="216"/>
      <c r="JTO33" s="216"/>
      <c r="JTP33" s="216"/>
      <c r="JTQ33" s="216"/>
      <c r="JTR33" s="216"/>
      <c r="JTS33" s="216"/>
      <c r="JTT33" s="216"/>
      <c r="JTU33" s="216"/>
      <c r="JTV33" s="216"/>
      <c r="JTW33" s="216"/>
      <c r="JTX33" s="216"/>
      <c r="JTY33" s="216"/>
      <c r="JTZ33" s="216"/>
      <c r="JUA33" s="216"/>
      <c r="JUB33" s="216"/>
      <c r="JUC33" s="216"/>
      <c r="JUD33" s="216"/>
      <c r="JUE33" s="216"/>
      <c r="JUF33" s="216"/>
      <c r="JUG33" s="216"/>
      <c r="JUH33" s="216"/>
      <c r="JUI33" s="216"/>
      <c r="JUJ33" s="216"/>
      <c r="JUK33" s="216"/>
      <c r="JUL33" s="216"/>
      <c r="JUM33" s="216"/>
      <c r="JUN33" s="216"/>
      <c r="JUO33" s="216"/>
      <c r="JUP33" s="216"/>
      <c r="JUQ33" s="216"/>
      <c r="JUR33" s="216"/>
      <c r="JUS33" s="216"/>
      <c r="JUT33" s="216"/>
      <c r="JUU33" s="216"/>
      <c r="JUV33" s="216"/>
      <c r="JUW33" s="216"/>
      <c r="JUX33" s="216"/>
      <c r="JUY33" s="216"/>
      <c r="JUZ33" s="216"/>
      <c r="JVA33" s="216"/>
      <c r="JVB33" s="216"/>
      <c r="JVC33" s="216"/>
      <c r="JVD33" s="216"/>
      <c r="JVE33" s="216"/>
      <c r="JVF33" s="216"/>
      <c r="JVG33" s="216"/>
      <c r="JVH33" s="216"/>
      <c r="JVI33" s="216"/>
      <c r="JVJ33" s="216"/>
      <c r="JVK33" s="216"/>
      <c r="JVL33" s="216"/>
      <c r="JVM33" s="216"/>
      <c r="JVN33" s="216"/>
      <c r="JVO33" s="216"/>
      <c r="JVP33" s="216"/>
      <c r="JVQ33" s="216"/>
      <c r="JVR33" s="216"/>
      <c r="JVS33" s="216"/>
      <c r="JVT33" s="216"/>
      <c r="JVU33" s="216"/>
      <c r="JVV33" s="216"/>
      <c r="JVW33" s="216"/>
      <c r="JVX33" s="216"/>
      <c r="JVY33" s="216"/>
      <c r="JVZ33" s="216"/>
      <c r="JWA33" s="216"/>
      <c r="JWB33" s="216"/>
      <c r="JWC33" s="216"/>
      <c r="JWD33" s="216"/>
      <c r="JWE33" s="216"/>
      <c r="JWF33" s="216"/>
      <c r="JWG33" s="216"/>
      <c r="JWH33" s="216"/>
      <c r="JWI33" s="216"/>
      <c r="JWJ33" s="216"/>
      <c r="JWK33" s="216"/>
      <c r="JWL33" s="216"/>
      <c r="JWM33" s="216"/>
      <c r="JWN33" s="216"/>
      <c r="JWO33" s="216"/>
      <c r="JWP33" s="216"/>
      <c r="JWQ33" s="216"/>
      <c r="JWR33" s="216"/>
      <c r="JWS33" s="216"/>
      <c r="JWT33" s="216"/>
      <c r="JWU33" s="216"/>
      <c r="JWV33" s="216"/>
      <c r="JWW33" s="216"/>
      <c r="JWX33" s="216"/>
      <c r="JWY33" s="216"/>
      <c r="JWZ33" s="216"/>
      <c r="JXA33" s="216"/>
      <c r="JXB33" s="216"/>
      <c r="JXC33" s="216"/>
      <c r="JXD33" s="216"/>
      <c r="JXE33" s="216"/>
      <c r="JXF33" s="216"/>
      <c r="JXG33" s="216"/>
      <c r="JXH33" s="216"/>
      <c r="JXI33" s="216"/>
      <c r="JXJ33" s="216"/>
      <c r="JXK33" s="216"/>
      <c r="JXL33" s="216"/>
      <c r="JXM33" s="216"/>
      <c r="JXN33" s="216"/>
      <c r="JXO33" s="216"/>
      <c r="JXP33" s="216"/>
      <c r="JXQ33" s="216"/>
      <c r="JXR33" s="216"/>
      <c r="JXS33" s="216"/>
      <c r="JXT33" s="216"/>
      <c r="JXU33" s="216"/>
      <c r="JXV33" s="216"/>
      <c r="JXW33" s="216"/>
      <c r="JXX33" s="216"/>
      <c r="JXY33" s="216"/>
      <c r="JXZ33" s="216"/>
      <c r="JYA33" s="216"/>
      <c r="JYB33" s="216"/>
      <c r="JYC33" s="216"/>
      <c r="JYD33" s="216"/>
      <c r="JYE33" s="216"/>
      <c r="JYF33" s="216"/>
      <c r="JYG33" s="216"/>
      <c r="JYH33" s="216"/>
      <c r="JYI33" s="216"/>
      <c r="JYJ33" s="216"/>
      <c r="JYK33" s="216"/>
      <c r="JYL33" s="216"/>
      <c r="JYM33" s="216"/>
      <c r="JYN33" s="216"/>
      <c r="JYO33" s="216"/>
      <c r="JYP33" s="216"/>
      <c r="JYQ33" s="216"/>
      <c r="JYR33" s="216"/>
      <c r="JYS33" s="216"/>
      <c r="JYT33" s="216"/>
      <c r="JYU33" s="216"/>
      <c r="JYV33" s="216"/>
      <c r="JYW33" s="216"/>
      <c r="JYX33" s="216"/>
      <c r="JYY33" s="216"/>
      <c r="JYZ33" s="216"/>
      <c r="JZA33" s="216"/>
      <c r="JZB33" s="216"/>
      <c r="JZC33" s="216"/>
      <c r="JZD33" s="216"/>
      <c r="JZE33" s="216"/>
      <c r="JZF33" s="216"/>
      <c r="JZG33" s="216"/>
      <c r="JZH33" s="216"/>
      <c r="JZI33" s="216"/>
      <c r="JZJ33" s="216"/>
      <c r="JZK33" s="216"/>
      <c r="JZL33" s="216"/>
      <c r="JZM33" s="216"/>
      <c r="JZN33" s="216"/>
      <c r="JZO33" s="216"/>
      <c r="JZP33" s="216"/>
      <c r="JZQ33" s="216"/>
      <c r="JZR33" s="216"/>
      <c r="JZS33" s="216"/>
      <c r="JZT33" s="216"/>
      <c r="JZU33" s="216"/>
      <c r="JZV33" s="216"/>
      <c r="JZW33" s="216"/>
      <c r="JZX33" s="216"/>
      <c r="JZY33" s="216"/>
      <c r="JZZ33" s="216"/>
      <c r="KAA33" s="216"/>
      <c r="KAB33" s="216"/>
      <c r="KAC33" s="216"/>
      <c r="KAD33" s="216"/>
      <c r="KAE33" s="216"/>
      <c r="KAF33" s="216"/>
      <c r="KAG33" s="216"/>
      <c r="KAH33" s="216"/>
      <c r="KAI33" s="216"/>
      <c r="KAJ33" s="216"/>
      <c r="KAK33" s="216"/>
      <c r="KAL33" s="216"/>
      <c r="KAM33" s="216"/>
      <c r="KAN33" s="216"/>
      <c r="KAO33" s="216"/>
      <c r="KAP33" s="216"/>
      <c r="KAQ33" s="216"/>
      <c r="KAR33" s="216"/>
      <c r="KAS33" s="216"/>
      <c r="KAT33" s="216"/>
      <c r="KAU33" s="216"/>
      <c r="KAV33" s="216"/>
      <c r="KAW33" s="216"/>
      <c r="KAX33" s="216"/>
      <c r="KAY33" s="216"/>
      <c r="KAZ33" s="216"/>
      <c r="KBA33" s="216"/>
      <c r="KBB33" s="216"/>
      <c r="KBC33" s="216"/>
      <c r="KBD33" s="216"/>
      <c r="KBE33" s="216"/>
      <c r="KBF33" s="216"/>
      <c r="KBG33" s="216"/>
      <c r="KBH33" s="216"/>
      <c r="KBI33" s="216"/>
      <c r="KBJ33" s="216"/>
      <c r="KBK33" s="216"/>
      <c r="KBL33" s="216"/>
      <c r="KBM33" s="216"/>
      <c r="KBN33" s="216"/>
      <c r="KBO33" s="216"/>
      <c r="KBP33" s="216"/>
      <c r="KBQ33" s="216"/>
      <c r="KBR33" s="216"/>
      <c r="KBS33" s="216"/>
      <c r="KBT33" s="216"/>
      <c r="KBU33" s="216"/>
      <c r="KBV33" s="216"/>
      <c r="KBW33" s="216"/>
      <c r="KBX33" s="216"/>
      <c r="KBY33" s="216"/>
      <c r="KBZ33" s="216"/>
      <c r="KCA33" s="216"/>
      <c r="KCB33" s="216"/>
      <c r="KCC33" s="216"/>
      <c r="KCD33" s="216"/>
      <c r="KCE33" s="216"/>
      <c r="KCF33" s="216"/>
      <c r="KCG33" s="216"/>
      <c r="KCH33" s="216"/>
      <c r="KCI33" s="216"/>
      <c r="KCJ33" s="216"/>
      <c r="KCK33" s="216"/>
      <c r="KCL33" s="216"/>
      <c r="KCM33" s="216"/>
      <c r="KCN33" s="216"/>
      <c r="KCO33" s="216"/>
      <c r="KCP33" s="216"/>
      <c r="KCQ33" s="216"/>
      <c r="KCR33" s="216"/>
      <c r="KCS33" s="216"/>
      <c r="KCT33" s="216"/>
      <c r="KCU33" s="216"/>
      <c r="KCV33" s="216"/>
      <c r="KCW33" s="216"/>
      <c r="KCX33" s="216"/>
      <c r="KCY33" s="216"/>
      <c r="KCZ33" s="216"/>
      <c r="KDA33" s="216"/>
      <c r="KDB33" s="216"/>
      <c r="KDC33" s="216"/>
      <c r="KDD33" s="216"/>
      <c r="KDE33" s="216"/>
      <c r="KDF33" s="216"/>
      <c r="KDG33" s="216"/>
      <c r="KDH33" s="216"/>
      <c r="KDI33" s="216"/>
      <c r="KDJ33" s="216"/>
      <c r="KDK33" s="216"/>
      <c r="KDL33" s="216"/>
      <c r="KDM33" s="216"/>
      <c r="KDN33" s="216"/>
      <c r="KDO33" s="216"/>
      <c r="KDP33" s="216"/>
      <c r="KDQ33" s="216"/>
      <c r="KDR33" s="216"/>
      <c r="KDS33" s="216"/>
      <c r="KDT33" s="216"/>
      <c r="KDU33" s="216"/>
      <c r="KDV33" s="216"/>
      <c r="KDW33" s="216"/>
      <c r="KDX33" s="216"/>
      <c r="KDY33" s="216"/>
      <c r="KDZ33" s="216"/>
      <c r="KEA33" s="216"/>
      <c r="KEB33" s="216"/>
      <c r="KEC33" s="216"/>
      <c r="KED33" s="216"/>
      <c r="KEE33" s="216"/>
      <c r="KEF33" s="216"/>
      <c r="KEG33" s="216"/>
      <c r="KEH33" s="216"/>
      <c r="KEI33" s="216"/>
      <c r="KEJ33" s="216"/>
      <c r="KEK33" s="216"/>
      <c r="KEL33" s="216"/>
      <c r="KEM33" s="216"/>
      <c r="KEN33" s="216"/>
      <c r="KEO33" s="216"/>
      <c r="KEP33" s="216"/>
      <c r="KEQ33" s="216"/>
      <c r="KER33" s="216"/>
      <c r="KES33" s="216"/>
      <c r="KET33" s="216"/>
      <c r="KEU33" s="216"/>
      <c r="KEV33" s="216"/>
      <c r="KEW33" s="216"/>
      <c r="KEX33" s="216"/>
      <c r="KEY33" s="216"/>
      <c r="KEZ33" s="216"/>
      <c r="KFA33" s="216"/>
      <c r="KFB33" s="216"/>
      <c r="KFC33" s="216"/>
      <c r="KFD33" s="216"/>
      <c r="KFE33" s="216"/>
      <c r="KFF33" s="216"/>
      <c r="KFG33" s="216"/>
      <c r="KFH33" s="216"/>
      <c r="KFI33" s="216"/>
      <c r="KFJ33" s="216"/>
      <c r="KFK33" s="216"/>
      <c r="KFL33" s="216"/>
      <c r="KFM33" s="216"/>
      <c r="KFN33" s="216"/>
      <c r="KFO33" s="216"/>
      <c r="KFP33" s="216"/>
      <c r="KFQ33" s="216"/>
      <c r="KFR33" s="216"/>
      <c r="KFS33" s="216"/>
      <c r="KFT33" s="216"/>
      <c r="KFU33" s="216"/>
      <c r="KFV33" s="216"/>
      <c r="KFW33" s="216"/>
      <c r="KFX33" s="216"/>
      <c r="KFY33" s="216"/>
      <c r="KFZ33" s="216"/>
      <c r="KGA33" s="216"/>
      <c r="KGB33" s="216"/>
      <c r="KGC33" s="216"/>
      <c r="KGD33" s="216"/>
      <c r="KGE33" s="216"/>
      <c r="KGF33" s="216"/>
      <c r="KGG33" s="216"/>
      <c r="KGH33" s="216"/>
      <c r="KGI33" s="216"/>
      <c r="KGJ33" s="216"/>
      <c r="KGK33" s="216"/>
      <c r="KGL33" s="216"/>
      <c r="KGM33" s="216"/>
      <c r="KGN33" s="216"/>
      <c r="KGO33" s="216"/>
      <c r="KGP33" s="216"/>
      <c r="KGQ33" s="216"/>
      <c r="KGR33" s="216"/>
      <c r="KGS33" s="216"/>
      <c r="KGT33" s="216"/>
      <c r="KGU33" s="216"/>
      <c r="KGV33" s="216"/>
      <c r="KGW33" s="216"/>
      <c r="KGX33" s="216"/>
      <c r="KGY33" s="216"/>
      <c r="KGZ33" s="216"/>
      <c r="KHA33" s="216"/>
      <c r="KHB33" s="216"/>
      <c r="KHC33" s="216"/>
      <c r="KHD33" s="216"/>
      <c r="KHE33" s="216"/>
      <c r="KHF33" s="216"/>
      <c r="KHG33" s="216"/>
      <c r="KHH33" s="216"/>
      <c r="KHI33" s="216"/>
      <c r="KHJ33" s="216"/>
      <c r="KHK33" s="216"/>
      <c r="KHL33" s="216"/>
      <c r="KHM33" s="216"/>
      <c r="KHN33" s="216"/>
      <c r="KHO33" s="216"/>
      <c r="KHP33" s="216"/>
      <c r="KHQ33" s="216"/>
      <c r="KHR33" s="216"/>
      <c r="KHS33" s="216"/>
      <c r="KHT33" s="216"/>
      <c r="KHU33" s="216"/>
      <c r="KHV33" s="216"/>
      <c r="KHW33" s="216"/>
      <c r="KHX33" s="216"/>
      <c r="KHY33" s="216"/>
      <c r="KHZ33" s="216"/>
      <c r="KIA33" s="216"/>
      <c r="KIB33" s="216"/>
      <c r="KIC33" s="216"/>
      <c r="KID33" s="216"/>
      <c r="KIE33" s="216"/>
      <c r="KIF33" s="216"/>
      <c r="KIG33" s="216"/>
      <c r="KIH33" s="216"/>
      <c r="KII33" s="216"/>
      <c r="KIJ33" s="216"/>
      <c r="KIK33" s="216"/>
      <c r="KIL33" s="216"/>
      <c r="KIM33" s="216"/>
      <c r="KIN33" s="216"/>
      <c r="KIO33" s="216"/>
      <c r="KIP33" s="216"/>
      <c r="KIQ33" s="216"/>
      <c r="KIR33" s="216"/>
      <c r="KIS33" s="216"/>
      <c r="KIT33" s="216"/>
      <c r="KIU33" s="216"/>
      <c r="KIV33" s="216"/>
      <c r="KIW33" s="216"/>
      <c r="KIX33" s="216"/>
      <c r="KIY33" s="216"/>
      <c r="KIZ33" s="216"/>
      <c r="KJA33" s="216"/>
      <c r="KJB33" s="216"/>
      <c r="KJC33" s="216"/>
      <c r="KJD33" s="216"/>
      <c r="KJE33" s="216"/>
      <c r="KJF33" s="216"/>
      <c r="KJG33" s="216"/>
      <c r="KJH33" s="216"/>
      <c r="KJI33" s="216"/>
      <c r="KJJ33" s="216"/>
      <c r="KJK33" s="216"/>
      <c r="KJL33" s="216"/>
      <c r="KJM33" s="216"/>
      <c r="KJN33" s="216"/>
      <c r="KJO33" s="216"/>
      <c r="KJP33" s="216"/>
      <c r="KJQ33" s="216"/>
      <c r="KJR33" s="216"/>
      <c r="KJS33" s="216"/>
      <c r="KJT33" s="216"/>
      <c r="KJU33" s="216"/>
      <c r="KJV33" s="216"/>
      <c r="KJW33" s="216"/>
      <c r="KJX33" s="216"/>
      <c r="KJY33" s="216"/>
      <c r="KJZ33" s="216"/>
      <c r="KKA33" s="216"/>
      <c r="KKB33" s="216"/>
      <c r="KKC33" s="216"/>
      <c r="KKD33" s="216"/>
      <c r="KKE33" s="216"/>
      <c r="KKF33" s="216"/>
      <c r="KKG33" s="216"/>
      <c r="KKH33" s="216"/>
      <c r="KKI33" s="216"/>
      <c r="KKJ33" s="216"/>
      <c r="KKK33" s="216"/>
      <c r="KKL33" s="216"/>
      <c r="KKM33" s="216"/>
      <c r="KKN33" s="216"/>
      <c r="KKO33" s="216"/>
      <c r="KKP33" s="216"/>
      <c r="KKQ33" s="216"/>
      <c r="KKR33" s="216"/>
      <c r="KKS33" s="216"/>
      <c r="KKT33" s="216"/>
      <c r="KKU33" s="216"/>
      <c r="KKV33" s="216"/>
      <c r="KKW33" s="216"/>
      <c r="KKX33" s="216"/>
      <c r="KKY33" s="216"/>
      <c r="KKZ33" s="216"/>
      <c r="KLA33" s="216"/>
      <c r="KLB33" s="216"/>
      <c r="KLC33" s="216"/>
      <c r="KLD33" s="216"/>
      <c r="KLE33" s="216"/>
      <c r="KLF33" s="216"/>
      <c r="KLG33" s="216"/>
      <c r="KLH33" s="216"/>
      <c r="KLI33" s="216"/>
      <c r="KLJ33" s="216"/>
      <c r="KLK33" s="216"/>
      <c r="KLL33" s="216"/>
      <c r="KLM33" s="216"/>
      <c r="KLN33" s="216"/>
      <c r="KLO33" s="216"/>
      <c r="KLP33" s="216"/>
      <c r="KLQ33" s="216"/>
      <c r="KLR33" s="216"/>
      <c r="KLS33" s="216"/>
      <c r="KLT33" s="216"/>
      <c r="KLU33" s="216"/>
      <c r="KLV33" s="216"/>
      <c r="KLW33" s="216"/>
      <c r="KLX33" s="216"/>
      <c r="KLY33" s="216"/>
      <c r="KLZ33" s="216"/>
      <c r="KMA33" s="216"/>
      <c r="KMB33" s="216"/>
      <c r="KMC33" s="216"/>
      <c r="KMD33" s="216"/>
      <c r="KME33" s="216"/>
      <c r="KMF33" s="216"/>
      <c r="KMG33" s="216"/>
      <c r="KMH33" s="216"/>
      <c r="KMI33" s="216"/>
      <c r="KMJ33" s="216"/>
      <c r="KMK33" s="216"/>
      <c r="KML33" s="216"/>
      <c r="KMM33" s="216"/>
      <c r="KMN33" s="216"/>
      <c r="KMO33" s="216"/>
      <c r="KMP33" s="216"/>
      <c r="KMQ33" s="216"/>
      <c r="KMR33" s="216"/>
      <c r="KMS33" s="216"/>
      <c r="KMT33" s="216"/>
      <c r="KMU33" s="216"/>
      <c r="KMV33" s="216"/>
      <c r="KMW33" s="216"/>
      <c r="KMX33" s="216"/>
      <c r="KMY33" s="216"/>
      <c r="KMZ33" s="216"/>
      <c r="KNA33" s="216"/>
      <c r="KNB33" s="216"/>
      <c r="KNC33" s="216"/>
      <c r="KND33" s="216"/>
      <c r="KNE33" s="216"/>
      <c r="KNF33" s="216"/>
      <c r="KNG33" s="216"/>
      <c r="KNH33" s="216"/>
      <c r="KNI33" s="216"/>
      <c r="KNJ33" s="216"/>
      <c r="KNK33" s="216"/>
      <c r="KNL33" s="216"/>
      <c r="KNM33" s="216"/>
      <c r="KNN33" s="216"/>
      <c r="KNO33" s="216"/>
      <c r="KNP33" s="216"/>
      <c r="KNQ33" s="216"/>
      <c r="KNR33" s="216"/>
      <c r="KNS33" s="216"/>
      <c r="KNT33" s="216"/>
      <c r="KNU33" s="216"/>
      <c r="KNV33" s="216"/>
      <c r="KNW33" s="216"/>
      <c r="KNX33" s="216"/>
      <c r="KNY33" s="216"/>
      <c r="KNZ33" s="216"/>
      <c r="KOA33" s="216"/>
      <c r="KOB33" s="216"/>
      <c r="KOC33" s="216"/>
      <c r="KOD33" s="216"/>
      <c r="KOE33" s="216"/>
      <c r="KOF33" s="216"/>
      <c r="KOG33" s="216"/>
      <c r="KOH33" s="216"/>
      <c r="KOI33" s="216"/>
      <c r="KOJ33" s="216"/>
      <c r="KOK33" s="216"/>
      <c r="KOL33" s="216"/>
      <c r="KOM33" s="216"/>
      <c r="KON33" s="216"/>
      <c r="KOO33" s="216"/>
      <c r="KOP33" s="216"/>
      <c r="KOQ33" s="216"/>
      <c r="KOR33" s="216"/>
      <c r="KOS33" s="216"/>
      <c r="KOT33" s="216"/>
      <c r="KOU33" s="216"/>
      <c r="KOV33" s="216"/>
      <c r="KOW33" s="216"/>
      <c r="KOX33" s="216"/>
      <c r="KOY33" s="216"/>
      <c r="KOZ33" s="216"/>
      <c r="KPA33" s="216"/>
      <c r="KPB33" s="216"/>
      <c r="KPC33" s="216"/>
      <c r="KPD33" s="216"/>
      <c r="KPE33" s="216"/>
      <c r="KPF33" s="216"/>
      <c r="KPG33" s="216"/>
      <c r="KPH33" s="216"/>
      <c r="KPI33" s="216"/>
      <c r="KPJ33" s="216"/>
      <c r="KPK33" s="216"/>
      <c r="KPL33" s="216"/>
      <c r="KPM33" s="216"/>
      <c r="KPN33" s="216"/>
      <c r="KPO33" s="216"/>
      <c r="KPP33" s="216"/>
      <c r="KPQ33" s="216"/>
      <c r="KPR33" s="216"/>
      <c r="KPS33" s="216"/>
      <c r="KPT33" s="216"/>
      <c r="KPU33" s="216"/>
      <c r="KPV33" s="216"/>
      <c r="KPW33" s="216"/>
      <c r="KPX33" s="216"/>
      <c r="KPY33" s="216"/>
      <c r="KPZ33" s="216"/>
      <c r="KQA33" s="216"/>
      <c r="KQB33" s="216"/>
      <c r="KQC33" s="216"/>
      <c r="KQD33" s="216"/>
      <c r="KQE33" s="216"/>
      <c r="KQF33" s="216"/>
      <c r="KQG33" s="216"/>
      <c r="KQH33" s="216"/>
      <c r="KQI33" s="216"/>
      <c r="KQJ33" s="216"/>
      <c r="KQK33" s="216"/>
      <c r="KQL33" s="216"/>
      <c r="KQM33" s="216"/>
      <c r="KQN33" s="216"/>
      <c r="KQO33" s="216"/>
      <c r="KQP33" s="216"/>
      <c r="KQQ33" s="216"/>
      <c r="KQR33" s="216"/>
      <c r="KQS33" s="216"/>
      <c r="KQT33" s="216"/>
      <c r="KQU33" s="216"/>
      <c r="KQV33" s="216"/>
      <c r="KQW33" s="216"/>
      <c r="KQX33" s="216"/>
      <c r="KQY33" s="216"/>
      <c r="KQZ33" s="216"/>
      <c r="KRA33" s="216"/>
      <c r="KRB33" s="216"/>
      <c r="KRC33" s="216"/>
      <c r="KRD33" s="216"/>
      <c r="KRE33" s="216"/>
      <c r="KRF33" s="216"/>
      <c r="KRG33" s="216"/>
      <c r="KRH33" s="216"/>
      <c r="KRI33" s="216"/>
      <c r="KRJ33" s="216"/>
      <c r="KRK33" s="216"/>
      <c r="KRL33" s="216"/>
      <c r="KRM33" s="216"/>
      <c r="KRN33" s="216"/>
      <c r="KRO33" s="216"/>
      <c r="KRP33" s="216"/>
      <c r="KRQ33" s="216"/>
      <c r="KRR33" s="216"/>
      <c r="KRS33" s="216"/>
      <c r="KRT33" s="216"/>
      <c r="KRU33" s="216"/>
      <c r="KRV33" s="216"/>
      <c r="KRW33" s="216"/>
      <c r="KRX33" s="216"/>
      <c r="KRY33" s="216"/>
      <c r="KRZ33" s="216"/>
      <c r="KSA33" s="216"/>
      <c r="KSB33" s="216"/>
      <c r="KSC33" s="216"/>
      <c r="KSD33" s="216"/>
      <c r="KSE33" s="216"/>
      <c r="KSF33" s="216"/>
      <c r="KSG33" s="216"/>
      <c r="KSH33" s="216"/>
      <c r="KSI33" s="216"/>
      <c r="KSJ33" s="216"/>
      <c r="KSK33" s="216"/>
      <c r="KSL33" s="216"/>
      <c r="KSM33" s="216"/>
      <c r="KSN33" s="216"/>
      <c r="KSO33" s="216"/>
      <c r="KSP33" s="216"/>
      <c r="KSQ33" s="216"/>
      <c r="KSR33" s="216"/>
      <c r="KSS33" s="216"/>
      <c r="KST33" s="216"/>
      <c r="KSU33" s="216"/>
      <c r="KSV33" s="216"/>
      <c r="KSW33" s="216"/>
      <c r="KSX33" s="216"/>
      <c r="KSY33" s="216"/>
      <c r="KSZ33" s="216"/>
      <c r="KTA33" s="216"/>
      <c r="KTB33" s="216"/>
      <c r="KTC33" s="216"/>
      <c r="KTD33" s="216"/>
      <c r="KTE33" s="216"/>
      <c r="KTF33" s="216"/>
      <c r="KTG33" s="216"/>
      <c r="KTH33" s="216"/>
      <c r="KTI33" s="216"/>
      <c r="KTJ33" s="216"/>
      <c r="KTK33" s="216"/>
      <c r="KTL33" s="216"/>
      <c r="KTM33" s="216"/>
      <c r="KTN33" s="216"/>
      <c r="KTO33" s="216"/>
      <c r="KTP33" s="216"/>
      <c r="KTQ33" s="216"/>
      <c r="KTR33" s="216"/>
      <c r="KTS33" s="216"/>
      <c r="KTT33" s="216"/>
      <c r="KTU33" s="216"/>
      <c r="KTV33" s="216"/>
      <c r="KTW33" s="216"/>
      <c r="KTX33" s="216"/>
      <c r="KTY33" s="216"/>
      <c r="KTZ33" s="216"/>
      <c r="KUA33" s="216"/>
      <c r="KUB33" s="216"/>
      <c r="KUC33" s="216"/>
      <c r="KUD33" s="216"/>
      <c r="KUE33" s="216"/>
      <c r="KUF33" s="216"/>
      <c r="KUG33" s="216"/>
      <c r="KUH33" s="216"/>
      <c r="KUI33" s="216"/>
      <c r="KUJ33" s="216"/>
      <c r="KUK33" s="216"/>
      <c r="KUL33" s="216"/>
      <c r="KUM33" s="216"/>
      <c r="KUN33" s="216"/>
      <c r="KUO33" s="216"/>
      <c r="KUP33" s="216"/>
      <c r="KUQ33" s="216"/>
      <c r="KUR33" s="216"/>
      <c r="KUS33" s="216"/>
      <c r="KUT33" s="216"/>
      <c r="KUU33" s="216"/>
      <c r="KUV33" s="216"/>
      <c r="KUW33" s="216"/>
      <c r="KUX33" s="216"/>
      <c r="KUY33" s="216"/>
      <c r="KUZ33" s="216"/>
      <c r="KVA33" s="216"/>
      <c r="KVB33" s="216"/>
      <c r="KVC33" s="216"/>
      <c r="KVD33" s="216"/>
      <c r="KVE33" s="216"/>
      <c r="KVF33" s="216"/>
      <c r="KVG33" s="216"/>
      <c r="KVH33" s="216"/>
      <c r="KVI33" s="216"/>
      <c r="KVJ33" s="216"/>
      <c r="KVK33" s="216"/>
      <c r="KVL33" s="216"/>
      <c r="KVM33" s="216"/>
      <c r="KVN33" s="216"/>
      <c r="KVO33" s="216"/>
      <c r="KVP33" s="216"/>
      <c r="KVQ33" s="216"/>
      <c r="KVR33" s="216"/>
      <c r="KVS33" s="216"/>
      <c r="KVT33" s="216"/>
      <c r="KVU33" s="216"/>
      <c r="KVV33" s="216"/>
      <c r="KVW33" s="216"/>
      <c r="KVX33" s="216"/>
      <c r="KVY33" s="216"/>
      <c r="KVZ33" s="216"/>
      <c r="KWA33" s="216"/>
      <c r="KWB33" s="216"/>
      <c r="KWC33" s="216"/>
      <c r="KWD33" s="216"/>
      <c r="KWE33" s="216"/>
      <c r="KWF33" s="216"/>
      <c r="KWG33" s="216"/>
      <c r="KWH33" s="216"/>
      <c r="KWI33" s="216"/>
      <c r="KWJ33" s="216"/>
      <c r="KWK33" s="216"/>
      <c r="KWL33" s="216"/>
      <c r="KWM33" s="216"/>
      <c r="KWN33" s="216"/>
      <c r="KWO33" s="216"/>
      <c r="KWP33" s="216"/>
      <c r="KWQ33" s="216"/>
      <c r="KWR33" s="216"/>
      <c r="KWS33" s="216"/>
      <c r="KWT33" s="216"/>
      <c r="KWU33" s="216"/>
      <c r="KWV33" s="216"/>
      <c r="KWW33" s="216"/>
      <c r="KWX33" s="216"/>
      <c r="KWY33" s="216"/>
      <c r="KWZ33" s="216"/>
      <c r="KXA33" s="216"/>
      <c r="KXB33" s="216"/>
      <c r="KXC33" s="216"/>
      <c r="KXD33" s="216"/>
      <c r="KXE33" s="216"/>
      <c r="KXF33" s="216"/>
      <c r="KXG33" s="216"/>
      <c r="KXH33" s="216"/>
      <c r="KXI33" s="216"/>
      <c r="KXJ33" s="216"/>
      <c r="KXK33" s="216"/>
      <c r="KXL33" s="216"/>
      <c r="KXM33" s="216"/>
      <c r="KXN33" s="216"/>
      <c r="KXO33" s="216"/>
      <c r="KXP33" s="216"/>
      <c r="KXQ33" s="216"/>
      <c r="KXR33" s="216"/>
      <c r="KXS33" s="216"/>
      <c r="KXT33" s="216"/>
      <c r="KXU33" s="216"/>
      <c r="KXV33" s="216"/>
      <c r="KXW33" s="216"/>
      <c r="KXX33" s="216"/>
      <c r="KXY33" s="216"/>
      <c r="KXZ33" s="216"/>
      <c r="KYA33" s="216"/>
      <c r="KYB33" s="216"/>
      <c r="KYC33" s="216"/>
      <c r="KYD33" s="216"/>
      <c r="KYE33" s="216"/>
      <c r="KYF33" s="216"/>
      <c r="KYG33" s="216"/>
      <c r="KYH33" s="216"/>
      <c r="KYI33" s="216"/>
      <c r="KYJ33" s="216"/>
      <c r="KYK33" s="216"/>
      <c r="KYL33" s="216"/>
      <c r="KYM33" s="216"/>
      <c r="KYN33" s="216"/>
      <c r="KYO33" s="216"/>
      <c r="KYP33" s="216"/>
      <c r="KYQ33" s="216"/>
      <c r="KYR33" s="216"/>
      <c r="KYS33" s="216"/>
      <c r="KYT33" s="216"/>
      <c r="KYU33" s="216"/>
      <c r="KYV33" s="216"/>
      <c r="KYW33" s="216"/>
      <c r="KYX33" s="216"/>
      <c r="KYY33" s="216"/>
      <c r="KYZ33" s="216"/>
      <c r="KZA33" s="216"/>
      <c r="KZB33" s="216"/>
      <c r="KZC33" s="216"/>
      <c r="KZD33" s="216"/>
      <c r="KZE33" s="216"/>
      <c r="KZF33" s="216"/>
      <c r="KZG33" s="216"/>
      <c r="KZH33" s="216"/>
      <c r="KZI33" s="216"/>
      <c r="KZJ33" s="216"/>
      <c r="KZK33" s="216"/>
      <c r="KZL33" s="216"/>
      <c r="KZM33" s="216"/>
      <c r="KZN33" s="216"/>
      <c r="KZO33" s="216"/>
      <c r="KZP33" s="216"/>
      <c r="KZQ33" s="216"/>
      <c r="KZR33" s="216"/>
      <c r="KZS33" s="216"/>
      <c r="KZT33" s="216"/>
      <c r="KZU33" s="216"/>
      <c r="KZV33" s="216"/>
      <c r="KZW33" s="216"/>
      <c r="KZX33" s="216"/>
      <c r="KZY33" s="216"/>
      <c r="KZZ33" s="216"/>
      <c r="LAA33" s="216"/>
      <c r="LAB33" s="216"/>
      <c r="LAC33" s="216"/>
      <c r="LAD33" s="216"/>
      <c r="LAE33" s="216"/>
      <c r="LAF33" s="216"/>
      <c r="LAG33" s="216"/>
      <c r="LAH33" s="216"/>
      <c r="LAI33" s="216"/>
      <c r="LAJ33" s="216"/>
      <c r="LAK33" s="216"/>
      <c r="LAL33" s="216"/>
      <c r="LAM33" s="216"/>
      <c r="LAN33" s="216"/>
      <c r="LAO33" s="216"/>
      <c r="LAP33" s="216"/>
      <c r="LAQ33" s="216"/>
      <c r="LAR33" s="216"/>
      <c r="LAS33" s="216"/>
      <c r="LAT33" s="216"/>
      <c r="LAU33" s="216"/>
      <c r="LAV33" s="216"/>
      <c r="LAW33" s="216"/>
      <c r="LAX33" s="216"/>
      <c r="LAY33" s="216"/>
      <c r="LAZ33" s="216"/>
      <c r="LBA33" s="216"/>
      <c r="LBB33" s="216"/>
      <c r="LBC33" s="216"/>
      <c r="LBD33" s="216"/>
      <c r="LBE33" s="216"/>
      <c r="LBF33" s="216"/>
      <c r="LBG33" s="216"/>
      <c r="LBH33" s="216"/>
      <c r="LBI33" s="216"/>
      <c r="LBJ33" s="216"/>
      <c r="LBK33" s="216"/>
      <c r="LBL33" s="216"/>
      <c r="LBM33" s="216"/>
      <c r="LBN33" s="216"/>
      <c r="LBO33" s="216"/>
      <c r="LBP33" s="216"/>
      <c r="LBQ33" s="216"/>
      <c r="LBR33" s="216"/>
      <c r="LBS33" s="216"/>
      <c r="LBT33" s="216"/>
      <c r="LBU33" s="216"/>
      <c r="LBV33" s="216"/>
      <c r="LBW33" s="216"/>
      <c r="LBX33" s="216"/>
      <c r="LBY33" s="216"/>
      <c r="LBZ33" s="216"/>
      <c r="LCA33" s="216"/>
      <c r="LCB33" s="216"/>
      <c r="LCC33" s="216"/>
      <c r="LCD33" s="216"/>
      <c r="LCE33" s="216"/>
      <c r="LCF33" s="216"/>
      <c r="LCG33" s="216"/>
      <c r="LCH33" s="216"/>
      <c r="LCI33" s="216"/>
      <c r="LCJ33" s="216"/>
      <c r="LCK33" s="216"/>
      <c r="LCL33" s="216"/>
      <c r="LCM33" s="216"/>
      <c r="LCN33" s="216"/>
      <c r="LCO33" s="216"/>
      <c r="LCP33" s="216"/>
      <c r="LCQ33" s="216"/>
      <c r="LCR33" s="216"/>
      <c r="LCS33" s="216"/>
      <c r="LCT33" s="216"/>
      <c r="LCU33" s="216"/>
      <c r="LCV33" s="216"/>
      <c r="LCW33" s="216"/>
      <c r="LCX33" s="216"/>
      <c r="LCY33" s="216"/>
      <c r="LCZ33" s="216"/>
      <c r="LDA33" s="216"/>
      <c r="LDB33" s="216"/>
      <c r="LDC33" s="216"/>
      <c r="LDD33" s="216"/>
      <c r="LDE33" s="216"/>
      <c r="LDF33" s="216"/>
      <c r="LDG33" s="216"/>
      <c r="LDH33" s="216"/>
      <c r="LDI33" s="216"/>
      <c r="LDJ33" s="216"/>
      <c r="LDK33" s="216"/>
      <c r="LDL33" s="216"/>
      <c r="LDM33" s="216"/>
      <c r="LDN33" s="216"/>
      <c r="LDO33" s="216"/>
      <c r="LDP33" s="216"/>
      <c r="LDQ33" s="216"/>
      <c r="LDR33" s="216"/>
      <c r="LDS33" s="216"/>
      <c r="LDT33" s="216"/>
      <c r="LDU33" s="216"/>
      <c r="LDV33" s="216"/>
      <c r="LDW33" s="216"/>
      <c r="LDX33" s="216"/>
      <c r="LDY33" s="216"/>
      <c r="LDZ33" s="216"/>
      <c r="LEA33" s="216"/>
      <c r="LEB33" s="216"/>
      <c r="LEC33" s="216"/>
      <c r="LED33" s="216"/>
      <c r="LEE33" s="216"/>
      <c r="LEF33" s="216"/>
      <c r="LEG33" s="216"/>
      <c r="LEH33" s="216"/>
      <c r="LEI33" s="216"/>
      <c r="LEJ33" s="216"/>
      <c r="LEK33" s="216"/>
      <c r="LEL33" s="216"/>
      <c r="LEM33" s="216"/>
      <c r="LEN33" s="216"/>
      <c r="LEO33" s="216"/>
      <c r="LEP33" s="216"/>
      <c r="LEQ33" s="216"/>
      <c r="LER33" s="216"/>
      <c r="LES33" s="216"/>
      <c r="LET33" s="216"/>
      <c r="LEU33" s="216"/>
      <c r="LEV33" s="216"/>
      <c r="LEW33" s="216"/>
      <c r="LEX33" s="216"/>
      <c r="LEY33" s="216"/>
      <c r="LEZ33" s="216"/>
      <c r="LFA33" s="216"/>
      <c r="LFB33" s="216"/>
      <c r="LFC33" s="216"/>
      <c r="LFD33" s="216"/>
      <c r="LFE33" s="216"/>
      <c r="LFF33" s="216"/>
      <c r="LFG33" s="216"/>
      <c r="LFH33" s="216"/>
      <c r="LFI33" s="216"/>
      <c r="LFJ33" s="216"/>
      <c r="LFK33" s="216"/>
      <c r="LFL33" s="216"/>
      <c r="LFM33" s="216"/>
      <c r="LFN33" s="216"/>
      <c r="LFO33" s="216"/>
      <c r="LFP33" s="216"/>
      <c r="LFQ33" s="216"/>
      <c r="LFR33" s="216"/>
      <c r="LFS33" s="216"/>
      <c r="LFT33" s="216"/>
      <c r="LFU33" s="216"/>
      <c r="LFV33" s="216"/>
      <c r="LFW33" s="216"/>
      <c r="LFX33" s="216"/>
      <c r="LFY33" s="216"/>
      <c r="LFZ33" s="216"/>
      <c r="LGA33" s="216"/>
      <c r="LGB33" s="216"/>
      <c r="LGC33" s="216"/>
      <c r="LGD33" s="216"/>
      <c r="LGE33" s="216"/>
      <c r="LGF33" s="216"/>
      <c r="LGG33" s="216"/>
      <c r="LGH33" s="216"/>
      <c r="LGI33" s="216"/>
      <c r="LGJ33" s="216"/>
      <c r="LGK33" s="216"/>
      <c r="LGL33" s="216"/>
      <c r="LGM33" s="216"/>
      <c r="LGN33" s="216"/>
      <c r="LGO33" s="216"/>
      <c r="LGP33" s="216"/>
      <c r="LGQ33" s="216"/>
      <c r="LGR33" s="216"/>
      <c r="LGS33" s="216"/>
      <c r="LGT33" s="216"/>
      <c r="LGU33" s="216"/>
      <c r="LGV33" s="216"/>
      <c r="LGW33" s="216"/>
      <c r="LGX33" s="216"/>
      <c r="LGY33" s="216"/>
      <c r="LGZ33" s="216"/>
      <c r="LHA33" s="216"/>
      <c r="LHB33" s="216"/>
      <c r="LHC33" s="216"/>
      <c r="LHD33" s="216"/>
      <c r="LHE33" s="216"/>
      <c r="LHF33" s="216"/>
      <c r="LHG33" s="216"/>
      <c r="LHH33" s="216"/>
      <c r="LHI33" s="216"/>
      <c r="LHJ33" s="216"/>
      <c r="LHK33" s="216"/>
      <c r="LHL33" s="216"/>
      <c r="LHM33" s="216"/>
      <c r="LHN33" s="216"/>
      <c r="LHO33" s="216"/>
      <c r="LHP33" s="216"/>
      <c r="LHQ33" s="216"/>
      <c r="LHR33" s="216"/>
      <c r="LHS33" s="216"/>
      <c r="LHT33" s="216"/>
      <c r="LHU33" s="216"/>
      <c r="LHV33" s="216"/>
      <c r="LHW33" s="216"/>
      <c r="LHX33" s="216"/>
      <c r="LHY33" s="216"/>
      <c r="LHZ33" s="216"/>
      <c r="LIA33" s="216"/>
      <c r="LIB33" s="216"/>
      <c r="LIC33" s="216"/>
      <c r="LID33" s="216"/>
      <c r="LIE33" s="216"/>
      <c r="LIF33" s="216"/>
      <c r="LIG33" s="216"/>
      <c r="LIH33" s="216"/>
      <c r="LII33" s="216"/>
      <c r="LIJ33" s="216"/>
      <c r="LIK33" s="216"/>
      <c r="LIL33" s="216"/>
      <c r="LIM33" s="216"/>
      <c r="LIN33" s="216"/>
      <c r="LIO33" s="216"/>
      <c r="LIP33" s="216"/>
      <c r="LIQ33" s="216"/>
      <c r="LIR33" s="216"/>
      <c r="LIS33" s="216"/>
      <c r="LIT33" s="216"/>
      <c r="LIU33" s="216"/>
      <c r="LIV33" s="216"/>
      <c r="LIW33" s="216"/>
      <c r="LIX33" s="216"/>
      <c r="LIY33" s="216"/>
      <c r="LIZ33" s="216"/>
      <c r="LJA33" s="216"/>
      <c r="LJB33" s="216"/>
      <c r="LJC33" s="216"/>
      <c r="LJD33" s="216"/>
      <c r="LJE33" s="216"/>
      <c r="LJF33" s="216"/>
      <c r="LJG33" s="216"/>
      <c r="LJH33" s="216"/>
      <c r="LJI33" s="216"/>
      <c r="LJJ33" s="216"/>
      <c r="LJK33" s="216"/>
      <c r="LJL33" s="216"/>
      <c r="LJM33" s="216"/>
      <c r="LJN33" s="216"/>
      <c r="LJO33" s="216"/>
      <c r="LJP33" s="216"/>
      <c r="LJQ33" s="216"/>
      <c r="LJR33" s="216"/>
      <c r="LJS33" s="216"/>
      <c r="LJT33" s="216"/>
      <c r="LJU33" s="216"/>
      <c r="LJV33" s="216"/>
      <c r="LJW33" s="216"/>
      <c r="LJX33" s="216"/>
      <c r="LJY33" s="216"/>
      <c r="LJZ33" s="216"/>
      <c r="LKA33" s="216"/>
      <c r="LKB33" s="216"/>
      <c r="LKC33" s="216"/>
      <c r="LKD33" s="216"/>
      <c r="LKE33" s="216"/>
      <c r="LKF33" s="216"/>
      <c r="LKG33" s="216"/>
      <c r="LKH33" s="216"/>
      <c r="LKI33" s="216"/>
      <c r="LKJ33" s="216"/>
      <c r="LKK33" s="216"/>
      <c r="LKL33" s="216"/>
      <c r="LKM33" s="216"/>
      <c r="LKN33" s="216"/>
      <c r="LKO33" s="216"/>
      <c r="LKP33" s="216"/>
      <c r="LKQ33" s="216"/>
      <c r="LKR33" s="216"/>
      <c r="LKS33" s="216"/>
      <c r="LKT33" s="216"/>
      <c r="LKU33" s="216"/>
      <c r="LKV33" s="216"/>
      <c r="LKW33" s="216"/>
      <c r="LKX33" s="216"/>
      <c r="LKY33" s="216"/>
      <c r="LKZ33" s="216"/>
      <c r="LLA33" s="216"/>
      <c r="LLB33" s="216"/>
      <c r="LLC33" s="216"/>
      <c r="LLD33" s="216"/>
      <c r="LLE33" s="216"/>
      <c r="LLF33" s="216"/>
      <c r="LLG33" s="216"/>
      <c r="LLH33" s="216"/>
      <c r="LLI33" s="216"/>
      <c r="LLJ33" s="216"/>
      <c r="LLK33" s="216"/>
      <c r="LLL33" s="216"/>
      <c r="LLM33" s="216"/>
      <c r="LLN33" s="216"/>
      <c r="LLO33" s="216"/>
      <c r="LLP33" s="216"/>
      <c r="LLQ33" s="216"/>
      <c r="LLR33" s="216"/>
      <c r="LLS33" s="216"/>
      <c r="LLT33" s="216"/>
      <c r="LLU33" s="216"/>
      <c r="LLV33" s="216"/>
      <c r="LLW33" s="216"/>
      <c r="LLX33" s="216"/>
      <c r="LLY33" s="216"/>
      <c r="LLZ33" s="216"/>
      <c r="LMA33" s="216"/>
      <c r="LMB33" s="216"/>
      <c r="LMC33" s="216"/>
      <c r="LMD33" s="216"/>
      <c r="LME33" s="216"/>
      <c r="LMF33" s="216"/>
      <c r="LMG33" s="216"/>
      <c r="LMH33" s="216"/>
      <c r="LMI33" s="216"/>
      <c r="LMJ33" s="216"/>
      <c r="LMK33" s="216"/>
      <c r="LML33" s="216"/>
      <c r="LMM33" s="216"/>
      <c r="LMN33" s="216"/>
      <c r="LMO33" s="216"/>
      <c r="LMP33" s="216"/>
      <c r="LMQ33" s="216"/>
      <c r="LMR33" s="216"/>
      <c r="LMS33" s="216"/>
      <c r="LMT33" s="216"/>
      <c r="LMU33" s="216"/>
      <c r="LMV33" s="216"/>
      <c r="LMW33" s="216"/>
      <c r="LMX33" s="216"/>
      <c r="LMY33" s="216"/>
      <c r="LMZ33" s="216"/>
      <c r="LNA33" s="216"/>
      <c r="LNB33" s="216"/>
      <c r="LNC33" s="216"/>
      <c r="LND33" s="216"/>
      <c r="LNE33" s="216"/>
      <c r="LNF33" s="216"/>
      <c r="LNG33" s="216"/>
      <c r="LNH33" s="216"/>
      <c r="LNI33" s="216"/>
      <c r="LNJ33" s="216"/>
      <c r="LNK33" s="216"/>
      <c r="LNL33" s="216"/>
      <c r="LNM33" s="216"/>
      <c r="LNN33" s="216"/>
      <c r="LNO33" s="216"/>
      <c r="LNP33" s="216"/>
      <c r="LNQ33" s="216"/>
      <c r="LNR33" s="216"/>
      <c r="LNS33" s="216"/>
      <c r="LNT33" s="216"/>
      <c r="LNU33" s="216"/>
      <c r="LNV33" s="216"/>
      <c r="LNW33" s="216"/>
      <c r="LNX33" s="216"/>
      <c r="LNY33" s="216"/>
      <c r="LNZ33" s="216"/>
      <c r="LOA33" s="216"/>
      <c r="LOB33" s="216"/>
      <c r="LOC33" s="216"/>
      <c r="LOD33" s="216"/>
      <c r="LOE33" s="216"/>
      <c r="LOF33" s="216"/>
      <c r="LOG33" s="216"/>
      <c r="LOH33" s="216"/>
      <c r="LOI33" s="216"/>
      <c r="LOJ33" s="216"/>
      <c r="LOK33" s="216"/>
      <c r="LOL33" s="216"/>
      <c r="LOM33" s="216"/>
      <c r="LON33" s="216"/>
      <c r="LOO33" s="216"/>
      <c r="LOP33" s="216"/>
      <c r="LOQ33" s="216"/>
      <c r="LOR33" s="216"/>
      <c r="LOS33" s="216"/>
      <c r="LOT33" s="216"/>
      <c r="LOU33" s="216"/>
      <c r="LOV33" s="216"/>
      <c r="LOW33" s="216"/>
      <c r="LOX33" s="216"/>
      <c r="LOY33" s="216"/>
      <c r="LOZ33" s="216"/>
      <c r="LPA33" s="216"/>
      <c r="LPB33" s="216"/>
      <c r="LPC33" s="216"/>
      <c r="LPD33" s="216"/>
      <c r="LPE33" s="216"/>
      <c r="LPF33" s="216"/>
      <c r="LPG33" s="216"/>
      <c r="LPH33" s="216"/>
      <c r="LPI33" s="216"/>
      <c r="LPJ33" s="216"/>
      <c r="LPK33" s="216"/>
      <c r="LPL33" s="216"/>
      <c r="LPM33" s="216"/>
      <c r="LPN33" s="216"/>
      <c r="LPO33" s="216"/>
      <c r="LPP33" s="216"/>
      <c r="LPQ33" s="216"/>
      <c r="LPR33" s="216"/>
      <c r="LPS33" s="216"/>
      <c r="LPT33" s="216"/>
      <c r="LPU33" s="216"/>
      <c r="LPV33" s="216"/>
      <c r="LPW33" s="216"/>
      <c r="LPX33" s="216"/>
      <c r="LPY33" s="216"/>
      <c r="LPZ33" s="216"/>
      <c r="LQA33" s="216"/>
      <c r="LQB33" s="216"/>
      <c r="LQC33" s="216"/>
      <c r="LQD33" s="216"/>
      <c r="LQE33" s="216"/>
      <c r="LQF33" s="216"/>
      <c r="LQG33" s="216"/>
      <c r="LQH33" s="216"/>
      <c r="LQI33" s="216"/>
      <c r="LQJ33" s="216"/>
      <c r="LQK33" s="216"/>
      <c r="LQL33" s="216"/>
      <c r="LQM33" s="216"/>
      <c r="LQN33" s="216"/>
      <c r="LQO33" s="216"/>
      <c r="LQP33" s="216"/>
      <c r="LQQ33" s="216"/>
      <c r="LQR33" s="216"/>
      <c r="LQS33" s="216"/>
      <c r="LQT33" s="216"/>
      <c r="LQU33" s="216"/>
      <c r="LQV33" s="216"/>
      <c r="LQW33" s="216"/>
      <c r="LQX33" s="216"/>
      <c r="LQY33" s="216"/>
      <c r="LQZ33" s="216"/>
      <c r="LRA33" s="216"/>
      <c r="LRB33" s="216"/>
      <c r="LRC33" s="216"/>
      <c r="LRD33" s="216"/>
      <c r="LRE33" s="216"/>
      <c r="LRF33" s="216"/>
      <c r="LRG33" s="216"/>
      <c r="LRH33" s="216"/>
      <c r="LRI33" s="216"/>
      <c r="LRJ33" s="216"/>
      <c r="LRK33" s="216"/>
      <c r="LRL33" s="216"/>
      <c r="LRM33" s="216"/>
      <c r="LRN33" s="216"/>
      <c r="LRO33" s="216"/>
      <c r="LRP33" s="216"/>
      <c r="LRQ33" s="216"/>
      <c r="LRR33" s="216"/>
      <c r="LRS33" s="216"/>
      <c r="LRT33" s="216"/>
      <c r="LRU33" s="216"/>
      <c r="LRV33" s="216"/>
      <c r="LRW33" s="216"/>
      <c r="LRX33" s="216"/>
      <c r="LRY33" s="216"/>
      <c r="LRZ33" s="216"/>
      <c r="LSA33" s="216"/>
      <c r="LSB33" s="216"/>
      <c r="LSC33" s="216"/>
      <c r="LSD33" s="216"/>
      <c r="LSE33" s="216"/>
      <c r="LSF33" s="216"/>
      <c r="LSG33" s="216"/>
      <c r="LSH33" s="216"/>
      <c r="LSI33" s="216"/>
      <c r="LSJ33" s="216"/>
      <c r="LSK33" s="216"/>
      <c r="LSL33" s="216"/>
      <c r="LSM33" s="216"/>
      <c r="LSN33" s="216"/>
      <c r="LSO33" s="216"/>
      <c r="LSP33" s="216"/>
      <c r="LSQ33" s="216"/>
      <c r="LSR33" s="216"/>
      <c r="LSS33" s="216"/>
      <c r="LST33" s="216"/>
      <c r="LSU33" s="216"/>
      <c r="LSV33" s="216"/>
      <c r="LSW33" s="216"/>
      <c r="LSX33" s="216"/>
      <c r="LSY33" s="216"/>
      <c r="LSZ33" s="216"/>
      <c r="LTA33" s="216"/>
      <c r="LTB33" s="216"/>
      <c r="LTC33" s="216"/>
      <c r="LTD33" s="216"/>
      <c r="LTE33" s="216"/>
      <c r="LTF33" s="216"/>
      <c r="LTG33" s="216"/>
      <c r="LTH33" s="216"/>
      <c r="LTI33" s="216"/>
      <c r="LTJ33" s="216"/>
      <c r="LTK33" s="216"/>
      <c r="LTL33" s="216"/>
      <c r="LTM33" s="216"/>
      <c r="LTN33" s="216"/>
      <c r="LTO33" s="216"/>
      <c r="LTP33" s="216"/>
      <c r="LTQ33" s="216"/>
      <c r="LTR33" s="216"/>
      <c r="LTS33" s="216"/>
      <c r="LTT33" s="216"/>
      <c r="LTU33" s="216"/>
      <c r="LTV33" s="216"/>
      <c r="LTW33" s="216"/>
      <c r="LTX33" s="216"/>
      <c r="LTY33" s="216"/>
      <c r="LTZ33" s="216"/>
      <c r="LUA33" s="216"/>
      <c r="LUB33" s="216"/>
      <c r="LUC33" s="216"/>
      <c r="LUD33" s="216"/>
      <c r="LUE33" s="216"/>
      <c r="LUF33" s="216"/>
      <c r="LUG33" s="216"/>
      <c r="LUH33" s="216"/>
      <c r="LUI33" s="216"/>
      <c r="LUJ33" s="216"/>
      <c r="LUK33" s="216"/>
      <c r="LUL33" s="216"/>
      <c r="LUM33" s="216"/>
      <c r="LUN33" s="216"/>
      <c r="LUO33" s="216"/>
      <c r="LUP33" s="216"/>
      <c r="LUQ33" s="216"/>
      <c r="LUR33" s="216"/>
      <c r="LUS33" s="216"/>
      <c r="LUT33" s="216"/>
      <c r="LUU33" s="216"/>
      <c r="LUV33" s="216"/>
      <c r="LUW33" s="216"/>
      <c r="LUX33" s="216"/>
      <c r="LUY33" s="216"/>
      <c r="LUZ33" s="216"/>
      <c r="LVA33" s="216"/>
      <c r="LVB33" s="216"/>
      <c r="LVC33" s="216"/>
      <c r="LVD33" s="216"/>
      <c r="LVE33" s="216"/>
      <c r="LVF33" s="216"/>
      <c r="LVG33" s="216"/>
      <c r="LVH33" s="216"/>
      <c r="LVI33" s="216"/>
      <c r="LVJ33" s="216"/>
      <c r="LVK33" s="216"/>
      <c r="LVL33" s="216"/>
      <c r="LVM33" s="216"/>
      <c r="LVN33" s="216"/>
      <c r="LVO33" s="216"/>
      <c r="LVP33" s="216"/>
      <c r="LVQ33" s="216"/>
      <c r="LVR33" s="216"/>
      <c r="LVS33" s="216"/>
      <c r="LVT33" s="216"/>
      <c r="LVU33" s="216"/>
      <c r="LVV33" s="216"/>
      <c r="LVW33" s="216"/>
      <c r="LVX33" s="216"/>
      <c r="LVY33" s="216"/>
      <c r="LVZ33" s="216"/>
      <c r="LWA33" s="216"/>
      <c r="LWB33" s="216"/>
      <c r="LWC33" s="216"/>
      <c r="LWD33" s="216"/>
      <c r="LWE33" s="216"/>
      <c r="LWF33" s="216"/>
      <c r="LWG33" s="216"/>
      <c r="LWH33" s="216"/>
      <c r="LWI33" s="216"/>
      <c r="LWJ33" s="216"/>
      <c r="LWK33" s="216"/>
      <c r="LWL33" s="216"/>
      <c r="LWM33" s="216"/>
      <c r="LWN33" s="216"/>
      <c r="LWO33" s="216"/>
      <c r="LWP33" s="216"/>
      <c r="LWQ33" s="216"/>
      <c r="LWR33" s="216"/>
      <c r="LWS33" s="216"/>
      <c r="LWT33" s="216"/>
      <c r="LWU33" s="216"/>
      <c r="LWV33" s="216"/>
      <c r="LWW33" s="216"/>
      <c r="LWX33" s="216"/>
      <c r="LWY33" s="216"/>
      <c r="LWZ33" s="216"/>
      <c r="LXA33" s="216"/>
      <c r="LXB33" s="216"/>
      <c r="LXC33" s="216"/>
      <c r="LXD33" s="216"/>
      <c r="LXE33" s="216"/>
      <c r="LXF33" s="216"/>
      <c r="LXG33" s="216"/>
      <c r="LXH33" s="216"/>
      <c r="LXI33" s="216"/>
      <c r="LXJ33" s="216"/>
      <c r="LXK33" s="216"/>
      <c r="LXL33" s="216"/>
      <c r="LXM33" s="216"/>
      <c r="LXN33" s="216"/>
      <c r="LXO33" s="216"/>
      <c r="LXP33" s="216"/>
      <c r="LXQ33" s="216"/>
      <c r="LXR33" s="216"/>
      <c r="LXS33" s="216"/>
      <c r="LXT33" s="216"/>
      <c r="LXU33" s="216"/>
      <c r="LXV33" s="216"/>
      <c r="LXW33" s="216"/>
      <c r="LXX33" s="216"/>
      <c r="LXY33" s="216"/>
      <c r="LXZ33" s="216"/>
      <c r="LYA33" s="216"/>
      <c r="LYB33" s="216"/>
      <c r="LYC33" s="216"/>
      <c r="LYD33" s="216"/>
      <c r="LYE33" s="216"/>
      <c r="LYF33" s="216"/>
      <c r="LYG33" s="216"/>
      <c r="LYH33" s="216"/>
      <c r="LYI33" s="216"/>
      <c r="LYJ33" s="216"/>
      <c r="LYK33" s="216"/>
      <c r="LYL33" s="216"/>
      <c r="LYM33" s="216"/>
      <c r="LYN33" s="216"/>
      <c r="LYO33" s="216"/>
      <c r="LYP33" s="216"/>
      <c r="LYQ33" s="216"/>
      <c r="LYR33" s="216"/>
      <c r="LYS33" s="216"/>
      <c r="LYT33" s="216"/>
      <c r="LYU33" s="216"/>
      <c r="LYV33" s="216"/>
      <c r="LYW33" s="216"/>
      <c r="LYX33" s="216"/>
      <c r="LYY33" s="216"/>
      <c r="LYZ33" s="216"/>
      <c r="LZA33" s="216"/>
      <c r="LZB33" s="216"/>
      <c r="LZC33" s="216"/>
      <c r="LZD33" s="216"/>
      <c r="LZE33" s="216"/>
      <c r="LZF33" s="216"/>
      <c r="LZG33" s="216"/>
      <c r="LZH33" s="216"/>
      <c r="LZI33" s="216"/>
      <c r="LZJ33" s="216"/>
      <c r="LZK33" s="216"/>
      <c r="LZL33" s="216"/>
      <c r="LZM33" s="216"/>
      <c r="LZN33" s="216"/>
      <c r="LZO33" s="216"/>
      <c r="LZP33" s="216"/>
      <c r="LZQ33" s="216"/>
      <c r="LZR33" s="216"/>
      <c r="LZS33" s="216"/>
      <c r="LZT33" s="216"/>
      <c r="LZU33" s="216"/>
      <c r="LZV33" s="216"/>
      <c r="LZW33" s="216"/>
      <c r="LZX33" s="216"/>
      <c r="LZY33" s="216"/>
      <c r="LZZ33" s="216"/>
      <c r="MAA33" s="216"/>
      <c r="MAB33" s="216"/>
      <c r="MAC33" s="216"/>
      <c r="MAD33" s="216"/>
      <c r="MAE33" s="216"/>
      <c r="MAF33" s="216"/>
      <c r="MAG33" s="216"/>
      <c r="MAH33" s="216"/>
      <c r="MAI33" s="216"/>
      <c r="MAJ33" s="216"/>
      <c r="MAK33" s="216"/>
      <c r="MAL33" s="216"/>
      <c r="MAM33" s="216"/>
      <c r="MAN33" s="216"/>
      <c r="MAO33" s="216"/>
      <c r="MAP33" s="216"/>
      <c r="MAQ33" s="216"/>
      <c r="MAR33" s="216"/>
      <c r="MAS33" s="216"/>
      <c r="MAT33" s="216"/>
      <c r="MAU33" s="216"/>
      <c r="MAV33" s="216"/>
      <c r="MAW33" s="216"/>
      <c r="MAX33" s="216"/>
      <c r="MAY33" s="216"/>
      <c r="MAZ33" s="216"/>
      <c r="MBA33" s="216"/>
      <c r="MBB33" s="216"/>
      <c r="MBC33" s="216"/>
      <c r="MBD33" s="216"/>
      <c r="MBE33" s="216"/>
      <c r="MBF33" s="216"/>
      <c r="MBG33" s="216"/>
      <c r="MBH33" s="216"/>
      <c r="MBI33" s="216"/>
      <c r="MBJ33" s="216"/>
      <c r="MBK33" s="216"/>
      <c r="MBL33" s="216"/>
      <c r="MBM33" s="216"/>
      <c r="MBN33" s="216"/>
      <c r="MBO33" s="216"/>
      <c r="MBP33" s="216"/>
      <c r="MBQ33" s="216"/>
      <c r="MBR33" s="216"/>
      <c r="MBS33" s="216"/>
      <c r="MBT33" s="216"/>
      <c r="MBU33" s="216"/>
      <c r="MBV33" s="216"/>
      <c r="MBW33" s="216"/>
      <c r="MBX33" s="216"/>
      <c r="MBY33" s="216"/>
      <c r="MBZ33" s="216"/>
      <c r="MCA33" s="216"/>
      <c r="MCB33" s="216"/>
      <c r="MCC33" s="216"/>
      <c r="MCD33" s="216"/>
      <c r="MCE33" s="216"/>
      <c r="MCF33" s="216"/>
      <c r="MCG33" s="216"/>
      <c r="MCH33" s="216"/>
      <c r="MCI33" s="216"/>
      <c r="MCJ33" s="216"/>
      <c r="MCK33" s="216"/>
      <c r="MCL33" s="216"/>
      <c r="MCM33" s="216"/>
      <c r="MCN33" s="216"/>
      <c r="MCO33" s="216"/>
      <c r="MCP33" s="216"/>
      <c r="MCQ33" s="216"/>
      <c r="MCR33" s="216"/>
      <c r="MCS33" s="216"/>
      <c r="MCT33" s="216"/>
      <c r="MCU33" s="216"/>
      <c r="MCV33" s="216"/>
      <c r="MCW33" s="216"/>
      <c r="MCX33" s="216"/>
      <c r="MCY33" s="216"/>
      <c r="MCZ33" s="216"/>
      <c r="MDA33" s="216"/>
      <c r="MDB33" s="216"/>
      <c r="MDC33" s="216"/>
      <c r="MDD33" s="216"/>
      <c r="MDE33" s="216"/>
      <c r="MDF33" s="216"/>
      <c r="MDG33" s="216"/>
      <c r="MDH33" s="216"/>
      <c r="MDI33" s="216"/>
      <c r="MDJ33" s="216"/>
      <c r="MDK33" s="216"/>
      <c r="MDL33" s="216"/>
      <c r="MDM33" s="216"/>
      <c r="MDN33" s="216"/>
      <c r="MDO33" s="216"/>
      <c r="MDP33" s="216"/>
      <c r="MDQ33" s="216"/>
      <c r="MDR33" s="216"/>
      <c r="MDS33" s="216"/>
      <c r="MDT33" s="216"/>
      <c r="MDU33" s="216"/>
      <c r="MDV33" s="216"/>
      <c r="MDW33" s="216"/>
      <c r="MDX33" s="216"/>
      <c r="MDY33" s="216"/>
      <c r="MDZ33" s="216"/>
      <c r="MEA33" s="216"/>
      <c r="MEB33" s="216"/>
      <c r="MEC33" s="216"/>
      <c r="MED33" s="216"/>
      <c r="MEE33" s="216"/>
      <c r="MEF33" s="216"/>
      <c r="MEG33" s="216"/>
      <c r="MEH33" s="216"/>
      <c r="MEI33" s="216"/>
      <c r="MEJ33" s="216"/>
      <c r="MEK33" s="216"/>
      <c r="MEL33" s="216"/>
      <c r="MEM33" s="216"/>
      <c r="MEN33" s="216"/>
      <c r="MEO33" s="216"/>
      <c r="MEP33" s="216"/>
      <c r="MEQ33" s="216"/>
      <c r="MER33" s="216"/>
      <c r="MES33" s="216"/>
      <c r="MET33" s="216"/>
      <c r="MEU33" s="216"/>
      <c r="MEV33" s="216"/>
      <c r="MEW33" s="216"/>
      <c r="MEX33" s="216"/>
      <c r="MEY33" s="216"/>
      <c r="MEZ33" s="216"/>
      <c r="MFA33" s="216"/>
      <c r="MFB33" s="216"/>
      <c r="MFC33" s="216"/>
      <c r="MFD33" s="216"/>
      <c r="MFE33" s="216"/>
      <c r="MFF33" s="216"/>
      <c r="MFG33" s="216"/>
      <c r="MFH33" s="216"/>
      <c r="MFI33" s="216"/>
      <c r="MFJ33" s="216"/>
      <c r="MFK33" s="216"/>
      <c r="MFL33" s="216"/>
      <c r="MFM33" s="216"/>
      <c r="MFN33" s="216"/>
      <c r="MFO33" s="216"/>
      <c r="MFP33" s="216"/>
      <c r="MFQ33" s="216"/>
      <c r="MFR33" s="216"/>
      <c r="MFS33" s="216"/>
      <c r="MFT33" s="216"/>
      <c r="MFU33" s="216"/>
      <c r="MFV33" s="216"/>
      <c r="MFW33" s="216"/>
      <c r="MFX33" s="216"/>
      <c r="MFY33" s="216"/>
      <c r="MFZ33" s="216"/>
      <c r="MGA33" s="216"/>
      <c r="MGB33" s="216"/>
      <c r="MGC33" s="216"/>
      <c r="MGD33" s="216"/>
      <c r="MGE33" s="216"/>
      <c r="MGF33" s="216"/>
      <c r="MGG33" s="216"/>
      <c r="MGH33" s="216"/>
      <c r="MGI33" s="216"/>
      <c r="MGJ33" s="216"/>
      <c r="MGK33" s="216"/>
      <c r="MGL33" s="216"/>
      <c r="MGM33" s="216"/>
      <c r="MGN33" s="216"/>
      <c r="MGO33" s="216"/>
      <c r="MGP33" s="216"/>
      <c r="MGQ33" s="216"/>
      <c r="MGR33" s="216"/>
      <c r="MGS33" s="216"/>
      <c r="MGT33" s="216"/>
      <c r="MGU33" s="216"/>
      <c r="MGV33" s="216"/>
      <c r="MGW33" s="216"/>
      <c r="MGX33" s="216"/>
      <c r="MGY33" s="216"/>
      <c r="MGZ33" s="216"/>
      <c r="MHA33" s="216"/>
      <c r="MHB33" s="216"/>
      <c r="MHC33" s="216"/>
      <c r="MHD33" s="216"/>
      <c r="MHE33" s="216"/>
      <c r="MHF33" s="216"/>
      <c r="MHG33" s="216"/>
      <c r="MHH33" s="216"/>
      <c r="MHI33" s="216"/>
      <c r="MHJ33" s="216"/>
      <c r="MHK33" s="216"/>
      <c r="MHL33" s="216"/>
      <c r="MHM33" s="216"/>
      <c r="MHN33" s="216"/>
      <c r="MHO33" s="216"/>
      <c r="MHP33" s="216"/>
      <c r="MHQ33" s="216"/>
      <c r="MHR33" s="216"/>
      <c r="MHS33" s="216"/>
      <c r="MHT33" s="216"/>
      <c r="MHU33" s="216"/>
      <c r="MHV33" s="216"/>
      <c r="MHW33" s="216"/>
      <c r="MHX33" s="216"/>
      <c r="MHY33" s="216"/>
      <c r="MHZ33" s="216"/>
      <c r="MIA33" s="216"/>
      <c r="MIB33" s="216"/>
      <c r="MIC33" s="216"/>
      <c r="MID33" s="216"/>
      <c r="MIE33" s="216"/>
      <c r="MIF33" s="216"/>
      <c r="MIG33" s="216"/>
      <c r="MIH33" s="216"/>
      <c r="MII33" s="216"/>
      <c r="MIJ33" s="216"/>
      <c r="MIK33" s="216"/>
      <c r="MIL33" s="216"/>
      <c r="MIM33" s="216"/>
      <c r="MIN33" s="216"/>
      <c r="MIO33" s="216"/>
      <c r="MIP33" s="216"/>
      <c r="MIQ33" s="216"/>
      <c r="MIR33" s="216"/>
      <c r="MIS33" s="216"/>
      <c r="MIT33" s="216"/>
      <c r="MIU33" s="216"/>
      <c r="MIV33" s="216"/>
      <c r="MIW33" s="216"/>
      <c r="MIX33" s="216"/>
      <c r="MIY33" s="216"/>
      <c r="MIZ33" s="216"/>
      <c r="MJA33" s="216"/>
      <c r="MJB33" s="216"/>
      <c r="MJC33" s="216"/>
      <c r="MJD33" s="216"/>
      <c r="MJE33" s="216"/>
      <c r="MJF33" s="216"/>
      <c r="MJG33" s="216"/>
      <c r="MJH33" s="216"/>
      <c r="MJI33" s="216"/>
      <c r="MJJ33" s="216"/>
      <c r="MJK33" s="216"/>
      <c r="MJL33" s="216"/>
      <c r="MJM33" s="216"/>
      <c r="MJN33" s="216"/>
      <c r="MJO33" s="216"/>
      <c r="MJP33" s="216"/>
      <c r="MJQ33" s="216"/>
      <c r="MJR33" s="216"/>
      <c r="MJS33" s="216"/>
      <c r="MJT33" s="216"/>
      <c r="MJU33" s="216"/>
      <c r="MJV33" s="216"/>
      <c r="MJW33" s="216"/>
      <c r="MJX33" s="216"/>
      <c r="MJY33" s="216"/>
      <c r="MJZ33" s="216"/>
      <c r="MKA33" s="216"/>
      <c r="MKB33" s="216"/>
      <c r="MKC33" s="216"/>
      <c r="MKD33" s="216"/>
      <c r="MKE33" s="216"/>
      <c r="MKF33" s="216"/>
      <c r="MKG33" s="216"/>
      <c r="MKH33" s="216"/>
      <c r="MKI33" s="216"/>
      <c r="MKJ33" s="216"/>
      <c r="MKK33" s="216"/>
      <c r="MKL33" s="216"/>
      <c r="MKM33" s="216"/>
      <c r="MKN33" s="216"/>
      <c r="MKO33" s="216"/>
      <c r="MKP33" s="216"/>
      <c r="MKQ33" s="216"/>
      <c r="MKR33" s="216"/>
      <c r="MKS33" s="216"/>
      <c r="MKT33" s="216"/>
      <c r="MKU33" s="216"/>
      <c r="MKV33" s="216"/>
      <c r="MKW33" s="216"/>
      <c r="MKX33" s="216"/>
      <c r="MKY33" s="216"/>
      <c r="MKZ33" s="216"/>
      <c r="MLA33" s="216"/>
      <c r="MLB33" s="216"/>
      <c r="MLC33" s="216"/>
      <c r="MLD33" s="216"/>
      <c r="MLE33" s="216"/>
      <c r="MLF33" s="216"/>
      <c r="MLG33" s="216"/>
      <c r="MLH33" s="216"/>
      <c r="MLI33" s="216"/>
      <c r="MLJ33" s="216"/>
      <c r="MLK33" s="216"/>
      <c r="MLL33" s="216"/>
      <c r="MLM33" s="216"/>
      <c r="MLN33" s="216"/>
      <c r="MLO33" s="216"/>
      <c r="MLP33" s="216"/>
      <c r="MLQ33" s="216"/>
      <c r="MLR33" s="216"/>
      <c r="MLS33" s="216"/>
      <c r="MLT33" s="216"/>
      <c r="MLU33" s="216"/>
      <c r="MLV33" s="216"/>
      <c r="MLW33" s="216"/>
      <c r="MLX33" s="216"/>
      <c r="MLY33" s="216"/>
      <c r="MLZ33" s="216"/>
      <c r="MMA33" s="216"/>
      <c r="MMB33" s="216"/>
      <c r="MMC33" s="216"/>
      <c r="MMD33" s="216"/>
      <c r="MME33" s="216"/>
      <c r="MMF33" s="216"/>
      <c r="MMG33" s="216"/>
      <c r="MMH33" s="216"/>
      <c r="MMI33" s="216"/>
      <c r="MMJ33" s="216"/>
      <c r="MMK33" s="216"/>
      <c r="MML33" s="216"/>
      <c r="MMM33" s="216"/>
      <c r="MMN33" s="216"/>
      <c r="MMO33" s="216"/>
      <c r="MMP33" s="216"/>
      <c r="MMQ33" s="216"/>
      <c r="MMR33" s="216"/>
      <c r="MMS33" s="216"/>
      <c r="MMT33" s="216"/>
      <c r="MMU33" s="216"/>
      <c r="MMV33" s="216"/>
      <c r="MMW33" s="216"/>
      <c r="MMX33" s="216"/>
      <c r="MMY33" s="216"/>
      <c r="MMZ33" s="216"/>
      <c r="MNA33" s="216"/>
      <c r="MNB33" s="216"/>
      <c r="MNC33" s="216"/>
      <c r="MND33" s="216"/>
      <c r="MNE33" s="216"/>
      <c r="MNF33" s="216"/>
      <c r="MNG33" s="216"/>
      <c r="MNH33" s="216"/>
      <c r="MNI33" s="216"/>
      <c r="MNJ33" s="216"/>
      <c r="MNK33" s="216"/>
      <c r="MNL33" s="216"/>
      <c r="MNM33" s="216"/>
      <c r="MNN33" s="216"/>
      <c r="MNO33" s="216"/>
      <c r="MNP33" s="216"/>
      <c r="MNQ33" s="216"/>
      <c r="MNR33" s="216"/>
      <c r="MNS33" s="216"/>
      <c r="MNT33" s="216"/>
      <c r="MNU33" s="216"/>
      <c r="MNV33" s="216"/>
      <c r="MNW33" s="216"/>
      <c r="MNX33" s="216"/>
      <c r="MNY33" s="216"/>
      <c r="MNZ33" s="216"/>
      <c r="MOA33" s="216"/>
      <c r="MOB33" s="216"/>
      <c r="MOC33" s="216"/>
      <c r="MOD33" s="216"/>
      <c r="MOE33" s="216"/>
      <c r="MOF33" s="216"/>
      <c r="MOG33" s="216"/>
      <c r="MOH33" s="216"/>
      <c r="MOI33" s="216"/>
      <c r="MOJ33" s="216"/>
      <c r="MOK33" s="216"/>
      <c r="MOL33" s="216"/>
      <c r="MOM33" s="216"/>
      <c r="MON33" s="216"/>
      <c r="MOO33" s="216"/>
      <c r="MOP33" s="216"/>
      <c r="MOQ33" s="216"/>
      <c r="MOR33" s="216"/>
      <c r="MOS33" s="216"/>
      <c r="MOT33" s="216"/>
      <c r="MOU33" s="216"/>
      <c r="MOV33" s="216"/>
      <c r="MOW33" s="216"/>
      <c r="MOX33" s="216"/>
      <c r="MOY33" s="216"/>
      <c r="MOZ33" s="216"/>
      <c r="MPA33" s="216"/>
      <c r="MPB33" s="216"/>
      <c r="MPC33" s="216"/>
      <c r="MPD33" s="216"/>
      <c r="MPE33" s="216"/>
      <c r="MPF33" s="216"/>
      <c r="MPG33" s="216"/>
      <c r="MPH33" s="216"/>
      <c r="MPI33" s="216"/>
      <c r="MPJ33" s="216"/>
      <c r="MPK33" s="216"/>
      <c r="MPL33" s="216"/>
      <c r="MPM33" s="216"/>
      <c r="MPN33" s="216"/>
      <c r="MPO33" s="216"/>
      <c r="MPP33" s="216"/>
      <c r="MPQ33" s="216"/>
      <c r="MPR33" s="216"/>
      <c r="MPS33" s="216"/>
      <c r="MPT33" s="216"/>
      <c r="MPU33" s="216"/>
      <c r="MPV33" s="216"/>
      <c r="MPW33" s="216"/>
      <c r="MPX33" s="216"/>
      <c r="MPY33" s="216"/>
      <c r="MPZ33" s="216"/>
      <c r="MQA33" s="216"/>
      <c r="MQB33" s="216"/>
      <c r="MQC33" s="216"/>
      <c r="MQD33" s="216"/>
      <c r="MQE33" s="216"/>
      <c r="MQF33" s="216"/>
      <c r="MQG33" s="216"/>
      <c r="MQH33" s="216"/>
      <c r="MQI33" s="216"/>
      <c r="MQJ33" s="216"/>
      <c r="MQK33" s="216"/>
      <c r="MQL33" s="216"/>
      <c r="MQM33" s="216"/>
      <c r="MQN33" s="216"/>
      <c r="MQO33" s="216"/>
      <c r="MQP33" s="216"/>
      <c r="MQQ33" s="216"/>
      <c r="MQR33" s="216"/>
      <c r="MQS33" s="216"/>
      <c r="MQT33" s="216"/>
      <c r="MQU33" s="216"/>
      <c r="MQV33" s="216"/>
      <c r="MQW33" s="216"/>
      <c r="MQX33" s="216"/>
      <c r="MQY33" s="216"/>
      <c r="MQZ33" s="216"/>
      <c r="MRA33" s="216"/>
      <c r="MRB33" s="216"/>
      <c r="MRC33" s="216"/>
      <c r="MRD33" s="216"/>
      <c r="MRE33" s="216"/>
      <c r="MRF33" s="216"/>
      <c r="MRG33" s="216"/>
      <c r="MRH33" s="216"/>
      <c r="MRI33" s="216"/>
      <c r="MRJ33" s="216"/>
      <c r="MRK33" s="216"/>
      <c r="MRL33" s="216"/>
      <c r="MRM33" s="216"/>
      <c r="MRN33" s="216"/>
      <c r="MRO33" s="216"/>
      <c r="MRP33" s="216"/>
      <c r="MRQ33" s="216"/>
      <c r="MRR33" s="216"/>
      <c r="MRS33" s="216"/>
      <c r="MRT33" s="216"/>
      <c r="MRU33" s="216"/>
      <c r="MRV33" s="216"/>
      <c r="MRW33" s="216"/>
      <c r="MRX33" s="216"/>
      <c r="MRY33" s="216"/>
      <c r="MRZ33" s="216"/>
      <c r="MSA33" s="216"/>
      <c r="MSB33" s="216"/>
      <c r="MSC33" s="216"/>
      <c r="MSD33" s="216"/>
      <c r="MSE33" s="216"/>
      <c r="MSF33" s="216"/>
      <c r="MSG33" s="216"/>
      <c r="MSH33" s="216"/>
      <c r="MSI33" s="216"/>
      <c r="MSJ33" s="216"/>
      <c r="MSK33" s="216"/>
      <c r="MSL33" s="216"/>
      <c r="MSM33" s="216"/>
      <c r="MSN33" s="216"/>
      <c r="MSO33" s="216"/>
      <c r="MSP33" s="216"/>
      <c r="MSQ33" s="216"/>
      <c r="MSR33" s="216"/>
      <c r="MSS33" s="216"/>
      <c r="MST33" s="216"/>
      <c r="MSU33" s="216"/>
      <c r="MSV33" s="216"/>
      <c r="MSW33" s="216"/>
      <c r="MSX33" s="216"/>
      <c r="MSY33" s="216"/>
      <c r="MSZ33" s="216"/>
      <c r="MTA33" s="216"/>
      <c r="MTB33" s="216"/>
      <c r="MTC33" s="216"/>
      <c r="MTD33" s="216"/>
      <c r="MTE33" s="216"/>
      <c r="MTF33" s="216"/>
      <c r="MTG33" s="216"/>
      <c r="MTH33" s="216"/>
      <c r="MTI33" s="216"/>
      <c r="MTJ33" s="216"/>
      <c r="MTK33" s="216"/>
      <c r="MTL33" s="216"/>
      <c r="MTM33" s="216"/>
      <c r="MTN33" s="216"/>
      <c r="MTO33" s="216"/>
      <c r="MTP33" s="216"/>
      <c r="MTQ33" s="216"/>
      <c r="MTR33" s="216"/>
      <c r="MTS33" s="216"/>
      <c r="MTT33" s="216"/>
      <c r="MTU33" s="216"/>
      <c r="MTV33" s="216"/>
      <c r="MTW33" s="216"/>
      <c r="MTX33" s="216"/>
      <c r="MTY33" s="216"/>
      <c r="MTZ33" s="216"/>
      <c r="MUA33" s="216"/>
      <c r="MUB33" s="216"/>
      <c r="MUC33" s="216"/>
      <c r="MUD33" s="216"/>
      <c r="MUE33" s="216"/>
      <c r="MUF33" s="216"/>
      <c r="MUG33" s="216"/>
      <c r="MUH33" s="216"/>
      <c r="MUI33" s="216"/>
      <c r="MUJ33" s="216"/>
      <c r="MUK33" s="216"/>
      <c r="MUL33" s="216"/>
      <c r="MUM33" s="216"/>
      <c r="MUN33" s="216"/>
      <c r="MUO33" s="216"/>
      <c r="MUP33" s="216"/>
      <c r="MUQ33" s="216"/>
      <c r="MUR33" s="216"/>
      <c r="MUS33" s="216"/>
      <c r="MUT33" s="216"/>
      <c r="MUU33" s="216"/>
      <c r="MUV33" s="216"/>
      <c r="MUW33" s="216"/>
      <c r="MUX33" s="216"/>
      <c r="MUY33" s="216"/>
      <c r="MUZ33" s="216"/>
      <c r="MVA33" s="216"/>
      <c r="MVB33" s="216"/>
      <c r="MVC33" s="216"/>
      <c r="MVD33" s="216"/>
      <c r="MVE33" s="216"/>
      <c r="MVF33" s="216"/>
      <c r="MVG33" s="216"/>
      <c r="MVH33" s="216"/>
      <c r="MVI33" s="216"/>
      <c r="MVJ33" s="216"/>
      <c r="MVK33" s="216"/>
      <c r="MVL33" s="216"/>
      <c r="MVM33" s="216"/>
      <c r="MVN33" s="216"/>
      <c r="MVO33" s="216"/>
      <c r="MVP33" s="216"/>
      <c r="MVQ33" s="216"/>
      <c r="MVR33" s="216"/>
      <c r="MVS33" s="216"/>
      <c r="MVT33" s="216"/>
      <c r="MVU33" s="216"/>
      <c r="MVV33" s="216"/>
      <c r="MVW33" s="216"/>
      <c r="MVX33" s="216"/>
      <c r="MVY33" s="216"/>
      <c r="MVZ33" s="216"/>
      <c r="MWA33" s="216"/>
      <c r="MWB33" s="216"/>
      <c r="MWC33" s="216"/>
      <c r="MWD33" s="216"/>
      <c r="MWE33" s="216"/>
      <c r="MWF33" s="216"/>
      <c r="MWG33" s="216"/>
      <c r="MWH33" s="216"/>
      <c r="MWI33" s="216"/>
      <c r="MWJ33" s="216"/>
      <c r="MWK33" s="216"/>
      <c r="MWL33" s="216"/>
      <c r="MWM33" s="216"/>
      <c r="MWN33" s="216"/>
      <c r="MWO33" s="216"/>
      <c r="MWP33" s="216"/>
      <c r="MWQ33" s="216"/>
      <c r="MWR33" s="216"/>
      <c r="MWS33" s="216"/>
      <c r="MWT33" s="216"/>
      <c r="MWU33" s="216"/>
      <c r="MWV33" s="216"/>
      <c r="MWW33" s="216"/>
      <c r="MWX33" s="216"/>
      <c r="MWY33" s="216"/>
      <c r="MWZ33" s="216"/>
      <c r="MXA33" s="216"/>
      <c r="MXB33" s="216"/>
      <c r="MXC33" s="216"/>
      <c r="MXD33" s="216"/>
      <c r="MXE33" s="216"/>
      <c r="MXF33" s="216"/>
      <c r="MXG33" s="216"/>
      <c r="MXH33" s="216"/>
      <c r="MXI33" s="216"/>
      <c r="MXJ33" s="216"/>
      <c r="MXK33" s="216"/>
      <c r="MXL33" s="216"/>
      <c r="MXM33" s="216"/>
      <c r="MXN33" s="216"/>
      <c r="MXO33" s="216"/>
      <c r="MXP33" s="216"/>
      <c r="MXQ33" s="216"/>
      <c r="MXR33" s="216"/>
      <c r="MXS33" s="216"/>
      <c r="MXT33" s="216"/>
      <c r="MXU33" s="216"/>
      <c r="MXV33" s="216"/>
      <c r="MXW33" s="216"/>
      <c r="MXX33" s="216"/>
      <c r="MXY33" s="216"/>
      <c r="MXZ33" s="216"/>
      <c r="MYA33" s="216"/>
      <c r="MYB33" s="216"/>
      <c r="MYC33" s="216"/>
      <c r="MYD33" s="216"/>
      <c r="MYE33" s="216"/>
      <c r="MYF33" s="216"/>
      <c r="MYG33" s="216"/>
      <c r="MYH33" s="216"/>
      <c r="MYI33" s="216"/>
      <c r="MYJ33" s="216"/>
      <c r="MYK33" s="216"/>
      <c r="MYL33" s="216"/>
      <c r="MYM33" s="216"/>
      <c r="MYN33" s="216"/>
      <c r="MYO33" s="216"/>
      <c r="MYP33" s="216"/>
      <c r="MYQ33" s="216"/>
      <c r="MYR33" s="216"/>
      <c r="MYS33" s="216"/>
      <c r="MYT33" s="216"/>
      <c r="MYU33" s="216"/>
      <c r="MYV33" s="216"/>
      <c r="MYW33" s="216"/>
      <c r="MYX33" s="216"/>
      <c r="MYY33" s="216"/>
      <c r="MYZ33" s="216"/>
      <c r="MZA33" s="216"/>
      <c r="MZB33" s="216"/>
      <c r="MZC33" s="216"/>
      <c r="MZD33" s="216"/>
      <c r="MZE33" s="216"/>
      <c r="MZF33" s="216"/>
      <c r="MZG33" s="216"/>
      <c r="MZH33" s="216"/>
      <c r="MZI33" s="216"/>
      <c r="MZJ33" s="216"/>
      <c r="MZK33" s="216"/>
      <c r="MZL33" s="216"/>
      <c r="MZM33" s="216"/>
      <c r="MZN33" s="216"/>
      <c r="MZO33" s="216"/>
      <c r="MZP33" s="216"/>
      <c r="MZQ33" s="216"/>
      <c r="MZR33" s="216"/>
      <c r="MZS33" s="216"/>
      <c r="MZT33" s="216"/>
      <c r="MZU33" s="216"/>
      <c r="MZV33" s="216"/>
      <c r="MZW33" s="216"/>
      <c r="MZX33" s="216"/>
      <c r="MZY33" s="216"/>
      <c r="MZZ33" s="216"/>
      <c r="NAA33" s="216"/>
      <c r="NAB33" s="216"/>
      <c r="NAC33" s="216"/>
      <c r="NAD33" s="216"/>
      <c r="NAE33" s="216"/>
      <c r="NAF33" s="216"/>
      <c r="NAG33" s="216"/>
      <c r="NAH33" s="216"/>
      <c r="NAI33" s="216"/>
      <c r="NAJ33" s="216"/>
      <c r="NAK33" s="216"/>
      <c r="NAL33" s="216"/>
      <c r="NAM33" s="216"/>
      <c r="NAN33" s="216"/>
      <c r="NAO33" s="216"/>
      <c r="NAP33" s="216"/>
      <c r="NAQ33" s="216"/>
      <c r="NAR33" s="216"/>
      <c r="NAS33" s="216"/>
      <c r="NAT33" s="216"/>
      <c r="NAU33" s="216"/>
      <c r="NAV33" s="216"/>
      <c r="NAW33" s="216"/>
      <c r="NAX33" s="216"/>
      <c r="NAY33" s="216"/>
      <c r="NAZ33" s="216"/>
      <c r="NBA33" s="216"/>
      <c r="NBB33" s="216"/>
      <c r="NBC33" s="216"/>
      <c r="NBD33" s="216"/>
      <c r="NBE33" s="216"/>
      <c r="NBF33" s="216"/>
      <c r="NBG33" s="216"/>
      <c r="NBH33" s="216"/>
      <c r="NBI33" s="216"/>
      <c r="NBJ33" s="216"/>
      <c r="NBK33" s="216"/>
      <c r="NBL33" s="216"/>
      <c r="NBM33" s="216"/>
      <c r="NBN33" s="216"/>
      <c r="NBO33" s="216"/>
      <c r="NBP33" s="216"/>
      <c r="NBQ33" s="216"/>
      <c r="NBR33" s="216"/>
      <c r="NBS33" s="216"/>
      <c r="NBT33" s="216"/>
      <c r="NBU33" s="216"/>
      <c r="NBV33" s="216"/>
      <c r="NBW33" s="216"/>
      <c r="NBX33" s="216"/>
      <c r="NBY33" s="216"/>
      <c r="NBZ33" s="216"/>
      <c r="NCA33" s="216"/>
      <c r="NCB33" s="216"/>
      <c r="NCC33" s="216"/>
      <c r="NCD33" s="216"/>
      <c r="NCE33" s="216"/>
      <c r="NCF33" s="216"/>
      <c r="NCG33" s="216"/>
      <c r="NCH33" s="216"/>
      <c r="NCI33" s="216"/>
      <c r="NCJ33" s="216"/>
      <c r="NCK33" s="216"/>
      <c r="NCL33" s="216"/>
      <c r="NCM33" s="216"/>
      <c r="NCN33" s="216"/>
      <c r="NCO33" s="216"/>
      <c r="NCP33" s="216"/>
      <c r="NCQ33" s="216"/>
      <c r="NCR33" s="216"/>
      <c r="NCS33" s="216"/>
      <c r="NCT33" s="216"/>
      <c r="NCU33" s="216"/>
      <c r="NCV33" s="216"/>
      <c r="NCW33" s="216"/>
      <c r="NCX33" s="216"/>
      <c r="NCY33" s="216"/>
      <c r="NCZ33" s="216"/>
      <c r="NDA33" s="216"/>
      <c r="NDB33" s="216"/>
      <c r="NDC33" s="216"/>
      <c r="NDD33" s="216"/>
      <c r="NDE33" s="216"/>
      <c r="NDF33" s="216"/>
      <c r="NDG33" s="216"/>
      <c r="NDH33" s="216"/>
      <c r="NDI33" s="216"/>
      <c r="NDJ33" s="216"/>
      <c r="NDK33" s="216"/>
      <c r="NDL33" s="216"/>
      <c r="NDM33" s="216"/>
      <c r="NDN33" s="216"/>
      <c r="NDO33" s="216"/>
      <c r="NDP33" s="216"/>
      <c r="NDQ33" s="216"/>
      <c r="NDR33" s="216"/>
      <c r="NDS33" s="216"/>
      <c r="NDT33" s="216"/>
      <c r="NDU33" s="216"/>
      <c r="NDV33" s="216"/>
      <c r="NDW33" s="216"/>
      <c r="NDX33" s="216"/>
      <c r="NDY33" s="216"/>
      <c r="NDZ33" s="216"/>
      <c r="NEA33" s="216"/>
      <c r="NEB33" s="216"/>
      <c r="NEC33" s="216"/>
      <c r="NED33" s="216"/>
      <c r="NEE33" s="216"/>
      <c r="NEF33" s="216"/>
      <c r="NEG33" s="216"/>
      <c r="NEH33" s="216"/>
      <c r="NEI33" s="216"/>
      <c r="NEJ33" s="216"/>
      <c r="NEK33" s="216"/>
      <c r="NEL33" s="216"/>
      <c r="NEM33" s="216"/>
      <c r="NEN33" s="216"/>
      <c r="NEO33" s="216"/>
      <c r="NEP33" s="216"/>
      <c r="NEQ33" s="216"/>
      <c r="NER33" s="216"/>
      <c r="NES33" s="216"/>
      <c r="NET33" s="216"/>
      <c r="NEU33" s="216"/>
      <c r="NEV33" s="216"/>
      <c r="NEW33" s="216"/>
      <c r="NEX33" s="216"/>
      <c r="NEY33" s="216"/>
      <c r="NEZ33" s="216"/>
      <c r="NFA33" s="216"/>
      <c r="NFB33" s="216"/>
      <c r="NFC33" s="216"/>
      <c r="NFD33" s="216"/>
      <c r="NFE33" s="216"/>
      <c r="NFF33" s="216"/>
      <c r="NFG33" s="216"/>
      <c r="NFH33" s="216"/>
      <c r="NFI33" s="216"/>
      <c r="NFJ33" s="216"/>
      <c r="NFK33" s="216"/>
      <c r="NFL33" s="216"/>
      <c r="NFM33" s="216"/>
      <c r="NFN33" s="216"/>
      <c r="NFO33" s="216"/>
      <c r="NFP33" s="216"/>
      <c r="NFQ33" s="216"/>
      <c r="NFR33" s="216"/>
      <c r="NFS33" s="216"/>
      <c r="NFT33" s="216"/>
      <c r="NFU33" s="216"/>
      <c r="NFV33" s="216"/>
      <c r="NFW33" s="216"/>
      <c r="NFX33" s="216"/>
      <c r="NFY33" s="216"/>
      <c r="NFZ33" s="216"/>
      <c r="NGA33" s="216"/>
      <c r="NGB33" s="216"/>
      <c r="NGC33" s="216"/>
      <c r="NGD33" s="216"/>
      <c r="NGE33" s="216"/>
      <c r="NGF33" s="216"/>
      <c r="NGG33" s="216"/>
      <c r="NGH33" s="216"/>
      <c r="NGI33" s="216"/>
      <c r="NGJ33" s="216"/>
      <c r="NGK33" s="216"/>
      <c r="NGL33" s="216"/>
      <c r="NGM33" s="216"/>
      <c r="NGN33" s="216"/>
      <c r="NGO33" s="216"/>
      <c r="NGP33" s="216"/>
      <c r="NGQ33" s="216"/>
      <c r="NGR33" s="216"/>
      <c r="NGS33" s="216"/>
      <c r="NGT33" s="216"/>
      <c r="NGU33" s="216"/>
      <c r="NGV33" s="216"/>
      <c r="NGW33" s="216"/>
      <c r="NGX33" s="216"/>
      <c r="NGY33" s="216"/>
      <c r="NGZ33" s="216"/>
      <c r="NHA33" s="216"/>
      <c r="NHB33" s="216"/>
      <c r="NHC33" s="216"/>
      <c r="NHD33" s="216"/>
      <c r="NHE33" s="216"/>
      <c r="NHF33" s="216"/>
      <c r="NHG33" s="216"/>
      <c r="NHH33" s="216"/>
      <c r="NHI33" s="216"/>
      <c r="NHJ33" s="216"/>
      <c r="NHK33" s="216"/>
      <c r="NHL33" s="216"/>
      <c r="NHM33" s="216"/>
      <c r="NHN33" s="216"/>
      <c r="NHO33" s="216"/>
      <c r="NHP33" s="216"/>
      <c r="NHQ33" s="216"/>
      <c r="NHR33" s="216"/>
      <c r="NHS33" s="216"/>
      <c r="NHT33" s="216"/>
      <c r="NHU33" s="216"/>
      <c r="NHV33" s="216"/>
      <c r="NHW33" s="216"/>
      <c r="NHX33" s="216"/>
      <c r="NHY33" s="216"/>
      <c r="NHZ33" s="216"/>
      <c r="NIA33" s="216"/>
      <c r="NIB33" s="216"/>
      <c r="NIC33" s="216"/>
      <c r="NID33" s="216"/>
      <c r="NIE33" s="216"/>
      <c r="NIF33" s="216"/>
      <c r="NIG33" s="216"/>
      <c r="NIH33" s="216"/>
      <c r="NII33" s="216"/>
      <c r="NIJ33" s="216"/>
      <c r="NIK33" s="216"/>
      <c r="NIL33" s="216"/>
      <c r="NIM33" s="216"/>
      <c r="NIN33" s="216"/>
      <c r="NIO33" s="216"/>
      <c r="NIP33" s="216"/>
      <c r="NIQ33" s="216"/>
      <c r="NIR33" s="216"/>
      <c r="NIS33" s="216"/>
      <c r="NIT33" s="216"/>
      <c r="NIU33" s="216"/>
      <c r="NIV33" s="216"/>
      <c r="NIW33" s="216"/>
      <c r="NIX33" s="216"/>
      <c r="NIY33" s="216"/>
      <c r="NIZ33" s="216"/>
      <c r="NJA33" s="216"/>
      <c r="NJB33" s="216"/>
      <c r="NJC33" s="216"/>
      <c r="NJD33" s="216"/>
      <c r="NJE33" s="216"/>
      <c r="NJF33" s="216"/>
      <c r="NJG33" s="216"/>
      <c r="NJH33" s="216"/>
      <c r="NJI33" s="216"/>
      <c r="NJJ33" s="216"/>
      <c r="NJK33" s="216"/>
      <c r="NJL33" s="216"/>
      <c r="NJM33" s="216"/>
      <c r="NJN33" s="216"/>
      <c r="NJO33" s="216"/>
      <c r="NJP33" s="216"/>
      <c r="NJQ33" s="216"/>
      <c r="NJR33" s="216"/>
      <c r="NJS33" s="216"/>
      <c r="NJT33" s="216"/>
      <c r="NJU33" s="216"/>
      <c r="NJV33" s="216"/>
      <c r="NJW33" s="216"/>
      <c r="NJX33" s="216"/>
      <c r="NJY33" s="216"/>
      <c r="NJZ33" s="216"/>
      <c r="NKA33" s="216"/>
      <c r="NKB33" s="216"/>
      <c r="NKC33" s="216"/>
      <c r="NKD33" s="216"/>
      <c r="NKE33" s="216"/>
      <c r="NKF33" s="216"/>
      <c r="NKG33" s="216"/>
      <c r="NKH33" s="216"/>
      <c r="NKI33" s="216"/>
      <c r="NKJ33" s="216"/>
      <c r="NKK33" s="216"/>
      <c r="NKL33" s="216"/>
      <c r="NKM33" s="216"/>
      <c r="NKN33" s="216"/>
      <c r="NKO33" s="216"/>
      <c r="NKP33" s="216"/>
      <c r="NKQ33" s="216"/>
      <c r="NKR33" s="216"/>
      <c r="NKS33" s="216"/>
      <c r="NKT33" s="216"/>
      <c r="NKU33" s="216"/>
      <c r="NKV33" s="216"/>
      <c r="NKW33" s="216"/>
      <c r="NKX33" s="216"/>
      <c r="NKY33" s="216"/>
      <c r="NKZ33" s="216"/>
      <c r="NLA33" s="216"/>
      <c r="NLB33" s="216"/>
      <c r="NLC33" s="216"/>
      <c r="NLD33" s="216"/>
      <c r="NLE33" s="216"/>
      <c r="NLF33" s="216"/>
      <c r="NLG33" s="216"/>
      <c r="NLH33" s="216"/>
      <c r="NLI33" s="216"/>
      <c r="NLJ33" s="216"/>
      <c r="NLK33" s="216"/>
      <c r="NLL33" s="216"/>
      <c r="NLM33" s="216"/>
      <c r="NLN33" s="216"/>
      <c r="NLO33" s="216"/>
      <c r="NLP33" s="216"/>
      <c r="NLQ33" s="216"/>
      <c r="NLR33" s="216"/>
      <c r="NLS33" s="216"/>
      <c r="NLT33" s="216"/>
      <c r="NLU33" s="216"/>
      <c r="NLV33" s="216"/>
      <c r="NLW33" s="216"/>
      <c r="NLX33" s="216"/>
      <c r="NLY33" s="216"/>
      <c r="NLZ33" s="216"/>
      <c r="NMA33" s="216"/>
      <c r="NMB33" s="216"/>
      <c r="NMC33" s="216"/>
      <c r="NMD33" s="216"/>
      <c r="NME33" s="216"/>
      <c r="NMF33" s="216"/>
      <c r="NMG33" s="216"/>
      <c r="NMH33" s="216"/>
      <c r="NMI33" s="216"/>
      <c r="NMJ33" s="216"/>
      <c r="NMK33" s="216"/>
      <c r="NML33" s="216"/>
      <c r="NMM33" s="216"/>
      <c r="NMN33" s="216"/>
      <c r="NMO33" s="216"/>
      <c r="NMP33" s="216"/>
      <c r="NMQ33" s="216"/>
      <c r="NMR33" s="216"/>
      <c r="NMS33" s="216"/>
      <c r="NMT33" s="216"/>
      <c r="NMU33" s="216"/>
      <c r="NMV33" s="216"/>
      <c r="NMW33" s="216"/>
      <c r="NMX33" s="216"/>
      <c r="NMY33" s="216"/>
      <c r="NMZ33" s="216"/>
      <c r="NNA33" s="216"/>
      <c r="NNB33" s="216"/>
      <c r="NNC33" s="216"/>
      <c r="NND33" s="216"/>
      <c r="NNE33" s="216"/>
      <c r="NNF33" s="216"/>
      <c r="NNG33" s="216"/>
      <c r="NNH33" s="216"/>
      <c r="NNI33" s="216"/>
      <c r="NNJ33" s="216"/>
      <c r="NNK33" s="216"/>
      <c r="NNL33" s="216"/>
      <c r="NNM33" s="216"/>
      <c r="NNN33" s="216"/>
      <c r="NNO33" s="216"/>
      <c r="NNP33" s="216"/>
      <c r="NNQ33" s="216"/>
      <c r="NNR33" s="216"/>
      <c r="NNS33" s="216"/>
      <c r="NNT33" s="216"/>
      <c r="NNU33" s="216"/>
      <c r="NNV33" s="216"/>
      <c r="NNW33" s="216"/>
      <c r="NNX33" s="216"/>
      <c r="NNY33" s="216"/>
      <c r="NNZ33" s="216"/>
      <c r="NOA33" s="216"/>
      <c r="NOB33" s="216"/>
      <c r="NOC33" s="216"/>
      <c r="NOD33" s="216"/>
      <c r="NOE33" s="216"/>
      <c r="NOF33" s="216"/>
      <c r="NOG33" s="216"/>
      <c r="NOH33" s="216"/>
      <c r="NOI33" s="216"/>
      <c r="NOJ33" s="216"/>
      <c r="NOK33" s="216"/>
      <c r="NOL33" s="216"/>
      <c r="NOM33" s="216"/>
      <c r="NON33" s="216"/>
      <c r="NOO33" s="216"/>
      <c r="NOP33" s="216"/>
      <c r="NOQ33" s="216"/>
      <c r="NOR33" s="216"/>
      <c r="NOS33" s="216"/>
      <c r="NOT33" s="216"/>
      <c r="NOU33" s="216"/>
      <c r="NOV33" s="216"/>
      <c r="NOW33" s="216"/>
      <c r="NOX33" s="216"/>
      <c r="NOY33" s="216"/>
      <c r="NOZ33" s="216"/>
      <c r="NPA33" s="216"/>
      <c r="NPB33" s="216"/>
      <c r="NPC33" s="216"/>
      <c r="NPD33" s="216"/>
      <c r="NPE33" s="216"/>
      <c r="NPF33" s="216"/>
      <c r="NPG33" s="216"/>
      <c r="NPH33" s="216"/>
      <c r="NPI33" s="216"/>
      <c r="NPJ33" s="216"/>
      <c r="NPK33" s="216"/>
      <c r="NPL33" s="216"/>
      <c r="NPM33" s="216"/>
      <c r="NPN33" s="216"/>
      <c r="NPO33" s="216"/>
      <c r="NPP33" s="216"/>
      <c r="NPQ33" s="216"/>
      <c r="NPR33" s="216"/>
      <c r="NPS33" s="216"/>
      <c r="NPT33" s="216"/>
      <c r="NPU33" s="216"/>
      <c r="NPV33" s="216"/>
      <c r="NPW33" s="216"/>
      <c r="NPX33" s="216"/>
      <c r="NPY33" s="216"/>
      <c r="NPZ33" s="216"/>
      <c r="NQA33" s="216"/>
      <c r="NQB33" s="216"/>
      <c r="NQC33" s="216"/>
      <c r="NQD33" s="216"/>
      <c r="NQE33" s="216"/>
      <c r="NQF33" s="216"/>
      <c r="NQG33" s="216"/>
      <c r="NQH33" s="216"/>
      <c r="NQI33" s="216"/>
      <c r="NQJ33" s="216"/>
      <c r="NQK33" s="216"/>
      <c r="NQL33" s="216"/>
      <c r="NQM33" s="216"/>
      <c r="NQN33" s="216"/>
      <c r="NQO33" s="216"/>
      <c r="NQP33" s="216"/>
      <c r="NQQ33" s="216"/>
      <c r="NQR33" s="216"/>
      <c r="NQS33" s="216"/>
      <c r="NQT33" s="216"/>
      <c r="NQU33" s="216"/>
      <c r="NQV33" s="216"/>
      <c r="NQW33" s="216"/>
      <c r="NQX33" s="216"/>
      <c r="NQY33" s="216"/>
      <c r="NQZ33" s="216"/>
      <c r="NRA33" s="216"/>
      <c r="NRB33" s="216"/>
      <c r="NRC33" s="216"/>
      <c r="NRD33" s="216"/>
      <c r="NRE33" s="216"/>
      <c r="NRF33" s="216"/>
      <c r="NRG33" s="216"/>
      <c r="NRH33" s="216"/>
      <c r="NRI33" s="216"/>
      <c r="NRJ33" s="216"/>
      <c r="NRK33" s="216"/>
      <c r="NRL33" s="216"/>
      <c r="NRM33" s="216"/>
      <c r="NRN33" s="216"/>
      <c r="NRO33" s="216"/>
      <c r="NRP33" s="216"/>
      <c r="NRQ33" s="216"/>
      <c r="NRR33" s="216"/>
      <c r="NRS33" s="216"/>
      <c r="NRT33" s="216"/>
      <c r="NRU33" s="216"/>
      <c r="NRV33" s="216"/>
      <c r="NRW33" s="216"/>
      <c r="NRX33" s="216"/>
      <c r="NRY33" s="216"/>
      <c r="NRZ33" s="216"/>
      <c r="NSA33" s="216"/>
      <c r="NSB33" s="216"/>
      <c r="NSC33" s="216"/>
      <c r="NSD33" s="216"/>
      <c r="NSE33" s="216"/>
      <c r="NSF33" s="216"/>
      <c r="NSG33" s="216"/>
      <c r="NSH33" s="216"/>
      <c r="NSI33" s="216"/>
      <c r="NSJ33" s="216"/>
      <c r="NSK33" s="216"/>
      <c r="NSL33" s="216"/>
      <c r="NSM33" s="216"/>
      <c r="NSN33" s="216"/>
      <c r="NSO33" s="216"/>
      <c r="NSP33" s="216"/>
      <c r="NSQ33" s="216"/>
      <c r="NSR33" s="216"/>
      <c r="NSS33" s="216"/>
      <c r="NST33" s="216"/>
      <c r="NSU33" s="216"/>
      <c r="NSV33" s="216"/>
      <c r="NSW33" s="216"/>
      <c r="NSX33" s="216"/>
      <c r="NSY33" s="216"/>
      <c r="NSZ33" s="216"/>
      <c r="NTA33" s="216"/>
      <c r="NTB33" s="216"/>
      <c r="NTC33" s="216"/>
      <c r="NTD33" s="216"/>
      <c r="NTE33" s="216"/>
      <c r="NTF33" s="216"/>
      <c r="NTG33" s="216"/>
      <c r="NTH33" s="216"/>
      <c r="NTI33" s="216"/>
      <c r="NTJ33" s="216"/>
      <c r="NTK33" s="216"/>
      <c r="NTL33" s="216"/>
      <c r="NTM33" s="216"/>
      <c r="NTN33" s="216"/>
      <c r="NTO33" s="216"/>
      <c r="NTP33" s="216"/>
      <c r="NTQ33" s="216"/>
      <c r="NTR33" s="216"/>
      <c r="NTS33" s="216"/>
      <c r="NTT33" s="216"/>
      <c r="NTU33" s="216"/>
      <c r="NTV33" s="216"/>
      <c r="NTW33" s="216"/>
      <c r="NTX33" s="216"/>
      <c r="NTY33" s="216"/>
      <c r="NTZ33" s="216"/>
      <c r="NUA33" s="216"/>
      <c r="NUB33" s="216"/>
      <c r="NUC33" s="216"/>
      <c r="NUD33" s="216"/>
      <c r="NUE33" s="216"/>
      <c r="NUF33" s="216"/>
      <c r="NUG33" s="216"/>
      <c r="NUH33" s="216"/>
      <c r="NUI33" s="216"/>
      <c r="NUJ33" s="216"/>
      <c r="NUK33" s="216"/>
      <c r="NUL33" s="216"/>
      <c r="NUM33" s="216"/>
      <c r="NUN33" s="216"/>
      <c r="NUO33" s="216"/>
      <c r="NUP33" s="216"/>
      <c r="NUQ33" s="216"/>
      <c r="NUR33" s="216"/>
      <c r="NUS33" s="216"/>
      <c r="NUT33" s="216"/>
      <c r="NUU33" s="216"/>
      <c r="NUV33" s="216"/>
      <c r="NUW33" s="216"/>
      <c r="NUX33" s="216"/>
      <c r="NUY33" s="216"/>
      <c r="NUZ33" s="216"/>
      <c r="NVA33" s="216"/>
      <c r="NVB33" s="216"/>
      <c r="NVC33" s="216"/>
      <c r="NVD33" s="216"/>
      <c r="NVE33" s="216"/>
      <c r="NVF33" s="216"/>
      <c r="NVG33" s="216"/>
      <c r="NVH33" s="216"/>
      <c r="NVI33" s="216"/>
      <c r="NVJ33" s="216"/>
      <c r="NVK33" s="216"/>
      <c r="NVL33" s="216"/>
      <c r="NVM33" s="216"/>
      <c r="NVN33" s="216"/>
      <c r="NVO33" s="216"/>
      <c r="NVP33" s="216"/>
      <c r="NVQ33" s="216"/>
      <c r="NVR33" s="216"/>
      <c r="NVS33" s="216"/>
      <c r="NVT33" s="216"/>
      <c r="NVU33" s="216"/>
      <c r="NVV33" s="216"/>
      <c r="NVW33" s="216"/>
      <c r="NVX33" s="216"/>
      <c r="NVY33" s="216"/>
      <c r="NVZ33" s="216"/>
      <c r="NWA33" s="216"/>
      <c r="NWB33" s="216"/>
      <c r="NWC33" s="216"/>
      <c r="NWD33" s="216"/>
      <c r="NWE33" s="216"/>
      <c r="NWF33" s="216"/>
      <c r="NWG33" s="216"/>
      <c r="NWH33" s="216"/>
      <c r="NWI33" s="216"/>
      <c r="NWJ33" s="216"/>
      <c r="NWK33" s="216"/>
      <c r="NWL33" s="216"/>
      <c r="NWM33" s="216"/>
      <c r="NWN33" s="216"/>
      <c r="NWO33" s="216"/>
      <c r="NWP33" s="216"/>
      <c r="NWQ33" s="216"/>
      <c r="NWR33" s="216"/>
      <c r="NWS33" s="216"/>
      <c r="NWT33" s="216"/>
      <c r="NWU33" s="216"/>
      <c r="NWV33" s="216"/>
      <c r="NWW33" s="216"/>
      <c r="NWX33" s="216"/>
      <c r="NWY33" s="216"/>
      <c r="NWZ33" s="216"/>
      <c r="NXA33" s="216"/>
      <c r="NXB33" s="216"/>
      <c r="NXC33" s="216"/>
      <c r="NXD33" s="216"/>
      <c r="NXE33" s="216"/>
      <c r="NXF33" s="216"/>
      <c r="NXG33" s="216"/>
      <c r="NXH33" s="216"/>
      <c r="NXI33" s="216"/>
      <c r="NXJ33" s="216"/>
      <c r="NXK33" s="216"/>
      <c r="NXL33" s="216"/>
      <c r="NXM33" s="216"/>
      <c r="NXN33" s="216"/>
      <c r="NXO33" s="216"/>
      <c r="NXP33" s="216"/>
      <c r="NXQ33" s="216"/>
      <c r="NXR33" s="216"/>
      <c r="NXS33" s="216"/>
      <c r="NXT33" s="216"/>
      <c r="NXU33" s="216"/>
      <c r="NXV33" s="216"/>
      <c r="NXW33" s="216"/>
      <c r="NXX33" s="216"/>
      <c r="NXY33" s="216"/>
      <c r="NXZ33" s="216"/>
      <c r="NYA33" s="216"/>
      <c r="NYB33" s="216"/>
      <c r="NYC33" s="216"/>
      <c r="NYD33" s="216"/>
      <c r="NYE33" s="216"/>
      <c r="NYF33" s="216"/>
      <c r="NYG33" s="216"/>
      <c r="NYH33" s="216"/>
      <c r="NYI33" s="216"/>
      <c r="NYJ33" s="216"/>
      <c r="NYK33" s="216"/>
      <c r="NYL33" s="216"/>
      <c r="NYM33" s="216"/>
      <c r="NYN33" s="216"/>
      <c r="NYO33" s="216"/>
      <c r="NYP33" s="216"/>
      <c r="NYQ33" s="216"/>
      <c r="NYR33" s="216"/>
      <c r="NYS33" s="216"/>
      <c r="NYT33" s="216"/>
      <c r="NYU33" s="216"/>
      <c r="NYV33" s="216"/>
      <c r="NYW33" s="216"/>
      <c r="NYX33" s="216"/>
      <c r="NYY33" s="216"/>
      <c r="NYZ33" s="216"/>
      <c r="NZA33" s="216"/>
      <c r="NZB33" s="216"/>
      <c r="NZC33" s="216"/>
      <c r="NZD33" s="216"/>
      <c r="NZE33" s="216"/>
      <c r="NZF33" s="216"/>
      <c r="NZG33" s="216"/>
      <c r="NZH33" s="216"/>
      <c r="NZI33" s="216"/>
      <c r="NZJ33" s="216"/>
      <c r="NZK33" s="216"/>
      <c r="NZL33" s="216"/>
      <c r="NZM33" s="216"/>
      <c r="NZN33" s="216"/>
      <c r="NZO33" s="216"/>
      <c r="NZP33" s="216"/>
      <c r="NZQ33" s="216"/>
      <c r="NZR33" s="216"/>
      <c r="NZS33" s="216"/>
      <c r="NZT33" s="216"/>
      <c r="NZU33" s="216"/>
      <c r="NZV33" s="216"/>
      <c r="NZW33" s="216"/>
      <c r="NZX33" s="216"/>
      <c r="NZY33" s="216"/>
      <c r="NZZ33" s="216"/>
      <c r="OAA33" s="216"/>
      <c r="OAB33" s="216"/>
      <c r="OAC33" s="216"/>
      <c r="OAD33" s="216"/>
      <c r="OAE33" s="216"/>
      <c r="OAF33" s="216"/>
      <c r="OAG33" s="216"/>
      <c r="OAH33" s="216"/>
      <c r="OAI33" s="216"/>
      <c r="OAJ33" s="216"/>
      <c r="OAK33" s="216"/>
      <c r="OAL33" s="216"/>
      <c r="OAM33" s="216"/>
      <c r="OAN33" s="216"/>
      <c r="OAO33" s="216"/>
      <c r="OAP33" s="216"/>
      <c r="OAQ33" s="216"/>
      <c r="OAR33" s="216"/>
      <c r="OAS33" s="216"/>
      <c r="OAT33" s="216"/>
      <c r="OAU33" s="216"/>
      <c r="OAV33" s="216"/>
      <c r="OAW33" s="216"/>
      <c r="OAX33" s="216"/>
      <c r="OAY33" s="216"/>
      <c r="OAZ33" s="216"/>
      <c r="OBA33" s="216"/>
      <c r="OBB33" s="216"/>
      <c r="OBC33" s="216"/>
      <c r="OBD33" s="216"/>
      <c r="OBE33" s="216"/>
      <c r="OBF33" s="216"/>
      <c r="OBG33" s="216"/>
      <c r="OBH33" s="216"/>
      <c r="OBI33" s="216"/>
      <c r="OBJ33" s="216"/>
      <c r="OBK33" s="216"/>
      <c r="OBL33" s="216"/>
      <c r="OBM33" s="216"/>
      <c r="OBN33" s="216"/>
      <c r="OBO33" s="216"/>
      <c r="OBP33" s="216"/>
      <c r="OBQ33" s="216"/>
      <c r="OBR33" s="216"/>
      <c r="OBS33" s="216"/>
      <c r="OBT33" s="216"/>
      <c r="OBU33" s="216"/>
      <c r="OBV33" s="216"/>
      <c r="OBW33" s="216"/>
      <c r="OBX33" s="216"/>
      <c r="OBY33" s="216"/>
      <c r="OBZ33" s="216"/>
      <c r="OCA33" s="216"/>
      <c r="OCB33" s="216"/>
      <c r="OCC33" s="216"/>
      <c r="OCD33" s="216"/>
      <c r="OCE33" s="216"/>
      <c r="OCF33" s="216"/>
      <c r="OCG33" s="216"/>
      <c r="OCH33" s="216"/>
      <c r="OCI33" s="216"/>
      <c r="OCJ33" s="216"/>
      <c r="OCK33" s="216"/>
      <c r="OCL33" s="216"/>
      <c r="OCM33" s="216"/>
      <c r="OCN33" s="216"/>
      <c r="OCO33" s="216"/>
      <c r="OCP33" s="216"/>
      <c r="OCQ33" s="216"/>
      <c r="OCR33" s="216"/>
      <c r="OCS33" s="216"/>
      <c r="OCT33" s="216"/>
      <c r="OCU33" s="216"/>
      <c r="OCV33" s="216"/>
      <c r="OCW33" s="216"/>
      <c r="OCX33" s="216"/>
      <c r="OCY33" s="216"/>
      <c r="OCZ33" s="216"/>
      <c r="ODA33" s="216"/>
      <c r="ODB33" s="216"/>
      <c r="ODC33" s="216"/>
      <c r="ODD33" s="216"/>
      <c r="ODE33" s="216"/>
      <c r="ODF33" s="216"/>
      <c r="ODG33" s="216"/>
      <c r="ODH33" s="216"/>
      <c r="ODI33" s="216"/>
      <c r="ODJ33" s="216"/>
      <c r="ODK33" s="216"/>
      <c r="ODL33" s="216"/>
      <c r="ODM33" s="216"/>
      <c r="ODN33" s="216"/>
      <c r="ODO33" s="216"/>
      <c r="ODP33" s="216"/>
      <c r="ODQ33" s="216"/>
      <c r="ODR33" s="216"/>
      <c r="ODS33" s="216"/>
      <c r="ODT33" s="216"/>
      <c r="ODU33" s="216"/>
      <c r="ODV33" s="216"/>
      <c r="ODW33" s="216"/>
      <c r="ODX33" s="216"/>
      <c r="ODY33" s="216"/>
      <c r="ODZ33" s="216"/>
      <c r="OEA33" s="216"/>
      <c r="OEB33" s="216"/>
      <c r="OEC33" s="216"/>
      <c r="OED33" s="216"/>
      <c r="OEE33" s="216"/>
      <c r="OEF33" s="216"/>
      <c r="OEG33" s="216"/>
      <c r="OEH33" s="216"/>
      <c r="OEI33" s="216"/>
      <c r="OEJ33" s="216"/>
      <c r="OEK33" s="216"/>
      <c r="OEL33" s="216"/>
      <c r="OEM33" s="216"/>
      <c r="OEN33" s="216"/>
      <c r="OEO33" s="216"/>
      <c r="OEP33" s="216"/>
      <c r="OEQ33" s="216"/>
      <c r="OER33" s="216"/>
      <c r="OES33" s="216"/>
      <c r="OET33" s="216"/>
      <c r="OEU33" s="216"/>
      <c r="OEV33" s="216"/>
      <c r="OEW33" s="216"/>
      <c r="OEX33" s="216"/>
      <c r="OEY33" s="216"/>
      <c r="OEZ33" s="216"/>
      <c r="OFA33" s="216"/>
      <c r="OFB33" s="216"/>
      <c r="OFC33" s="216"/>
      <c r="OFD33" s="216"/>
      <c r="OFE33" s="216"/>
      <c r="OFF33" s="216"/>
      <c r="OFG33" s="216"/>
      <c r="OFH33" s="216"/>
      <c r="OFI33" s="216"/>
      <c r="OFJ33" s="216"/>
      <c r="OFK33" s="216"/>
      <c r="OFL33" s="216"/>
      <c r="OFM33" s="216"/>
      <c r="OFN33" s="216"/>
      <c r="OFO33" s="216"/>
      <c r="OFP33" s="216"/>
      <c r="OFQ33" s="216"/>
      <c r="OFR33" s="216"/>
      <c r="OFS33" s="216"/>
      <c r="OFT33" s="216"/>
      <c r="OFU33" s="216"/>
      <c r="OFV33" s="216"/>
      <c r="OFW33" s="216"/>
      <c r="OFX33" s="216"/>
      <c r="OFY33" s="216"/>
      <c r="OFZ33" s="216"/>
      <c r="OGA33" s="216"/>
      <c r="OGB33" s="216"/>
      <c r="OGC33" s="216"/>
      <c r="OGD33" s="216"/>
      <c r="OGE33" s="216"/>
      <c r="OGF33" s="216"/>
      <c r="OGG33" s="216"/>
      <c r="OGH33" s="216"/>
      <c r="OGI33" s="216"/>
      <c r="OGJ33" s="216"/>
      <c r="OGK33" s="216"/>
      <c r="OGL33" s="216"/>
      <c r="OGM33" s="216"/>
      <c r="OGN33" s="216"/>
      <c r="OGO33" s="216"/>
      <c r="OGP33" s="216"/>
      <c r="OGQ33" s="216"/>
      <c r="OGR33" s="216"/>
      <c r="OGS33" s="216"/>
      <c r="OGT33" s="216"/>
      <c r="OGU33" s="216"/>
      <c r="OGV33" s="216"/>
      <c r="OGW33" s="216"/>
      <c r="OGX33" s="216"/>
      <c r="OGY33" s="216"/>
      <c r="OGZ33" s="216"/>
      <c r="OHA33" s="216"/>
      <c r="OHB33" s="216"/>
      <c r="OHC33" s="216"/>
      <c r="OHD33" s="216"/>
      <c r="OHE33" s="216"/>
      <c r="OHF33" s="216"/>
      <c r="OHG33" s="216"/>
      <c r="OHH33" s="216"/>
      <c r="OHI33" s="216"/>
      <c r="OHJ33" s="216"/>
      <c r="OHK33" s="216"/>
      <c r="OHL33" s="216"/>
      <c r="OHM33" s="216"/>
      <c r="OHN33" s="216"/>
      <c r="OHO33" s="216"/>
      <c r="OHP33" s="216"/>
      <c r="OHQ33" s="216"/>
      <c r="OHR33" s="216"/>
      <c r="OHS33" s="216"/>
      <c r="OHT33" s="216"/>
      <c r="OHU33" s="216"/>
      <c r="OHV33" s="216"/>
      <c r="OHW33" s="216"/>
      <c r="OHX33" s="216"/>
      <c r="OHY33" s="216"/>
      <c r="OHZ33" s="216"/>
      <c r="OIA33" s="216"/>
      <c r="OIB33" s="216"/>
      <c r="OIC33" s="216"/>
      <c r="OID33" s="216"/>
      <c r="OIE33" s="216"/>
      <c r="OIF33" s="216"/>
      <c r="OIG33" s="216"/>
      <c r="OIH33" s="216"/>
      <c r="OII33" s="216"/>
      <c r="OIJ33" s="216"/>
      <c r="OIK33" s="216"/>
      <c r="OIL33" s="216"/>
      <c r="OIM33" s="216"/>
      <c r="OIN33" s="216"/>
      <c r="OIO33" s="216"/>
      <c r="OIP33" s="216"/>
      <c r="OIQ33" s="216"/>
      <c r="OIR33" s="216"/>
      <c r="OIS33" s="216"/>
      <c r="OIT33" s="216"/>
      <c r="OIU33" s="216"/>
      <c r="OIV33" s="216"/>
      <c r="OIW33" s="216"/>
      <c r="OIX33" s="216"/>
      <c r="OIY33" s="216"/>
      <c r="OIZ33" s="216"/>
      <c r="OJA33" s="216"/>
      <c r="OJB33" s="216"/>
      <c r="OJC33" s="216"/>
      <c r="OJD33" s="216"/>
      <c r="OJE33" s="216"/>
      <c r="OJF33" s="216"/>
      <c r="OJG33" s="216"/>
      <c r="OJH33" s="216"/>
      <c r="OJI33" s="216"/>
      <c r="OJJ33" s="216"/>
      <c r="OJK33" s="216"/>
      <c r="OJL33" s="216"/>
      <c r="OJM33" s="216"/>
      <c r="OJN33" s="216"/>
      <c r="OJO33" s="216"/>
      <c r="OJP33" s="216"/>
      <c r="OJQ33" s="216"/>
      <c r="OJR33" s="216"/>
      <c r="OJS33" s="216"/>
      <c r="OJT33" s="216"/>
      <c r="OJU33" s="216"/>
      <c r="OJV33" s="216"/>
      <c r="OJW33" s="216"/>
      <c r="OJX33" s="216"/>
      <c r="OJY33" s="216"/>
      <c r="OJZ33" s="216"/>
      <c r="OKA33" s="216"/>
      <c r="OKB33" s="216"/>
      <c r="OKC33" s="216"/>
      <c r="OKD33" s="216"/>
      <c r="OKE33" s="216"/>
      <c r="OKF33" s="216"/>
      <c r="OKG33" s="216"/>
      <c r="OKH33" s="216"/>
      <c r="OKI33" s="216"/>
      <c r="OKJ33" s="216"/>
      <c r="OKK33" s="216"/>
      <c r="OKL33" s="216"/>
      <c r="OKM33" s="216"/>
      <c r="OKN33" s="216"/>
      <c r="OKO33" s="216"/>
      <c r="OKP33" s="216"/>
      <c r="OKQ33" s="216"/>
      <c r="OKR33" s="216"/>
      <c r="OKS33" s="216"/>
      <c r="OKT33" s="216"/>
      <c r="OKU33" s="216"/>
      <c r="OKV33" s="216"/>
      <c r="OKW33" s="216"/>
      <c r="OKX33" s="216"/>
      <c r="OKY33" s="216"/>
      <c r="OKZ33" s="216"/>
      <c r="OLA33" s="216"/>
      <c r="OLB33" s="216"/>
      <c r="OLC33" s="216"/>
      <c r="OLD33" s="216"/>
      <c r="OLE33" s="216"/>
      <c r="OLF33" s="216"/>
      <c r="OLG33" s="216"/>
      <c r="OLH33" s="216"/>
      <c r="OLI33" s="216"/>
      <c r="OLJ33" s="216"/>
      <c r="OLK33" s="216"/>
      <c r="OLL33" s="216"/>
      <c r="OLM33" s="216"/>
      <c r="OLN33" s="216"/>
      <c r="OLO33" s="216"/>
      <c r="OLP33" s="216"/>
      <c r="OLQ33" s="216"/>
      <c r="OLR33" s="216"/>
      <c r="OLS33" s="216"/>
      <c r="OLT33" s="216"/>
      <c r="OLU33" s="216"/>
      <c r="OLV33" s="216"/>
      <c r="OLW33" s="216"/>
      <c r="OLX33" s="216"/>
      <c r="OLY33" s="216"/>
      <c r="OLZ33" s="216"/>
      <c r="OMA33" s="216"/>
      <c r="OMB33" s="216"/>
      <c r="OMC33" s="216"/>
      <c r="OMD33" s="216"/>
      <c r="OME33" s="216"/>
      <c r="OMF33" s="216"/>
      <c r="OMG33" s="216"/>
      <c r="OMH33" s="216"/>
      <c r="OMI33" s="216"/>
      <c r="OMJ33" s="216"/>
      <c r="OMK33" s="216"/>
      <c r="OML33" s="216"/>
      <c r="OMM33" s="216"/>
      <c r="OMN33" s="216"/>
      <c r="OMO33" s="216"/>
      <c r="OMP33" s="216"/>
      <c r="OMQ33" s="216"/>
      <c r="OMR33" s="216"/>
      <c r="OMS33" s="216"/>
      <c r="OMT33" s="216"/>
      <c r="OMU33" s="216"/>
      <c r="OMV33" s="216"/>
      <c r="OMW33" s="216"/>
      <c r="OMX33" s="216"/>
      <c r="OMY33" s="216"/>
      <c r="OMZ33" s="216"/>
      <c r="ONA33" s="216"/>
      <c r="ONB33" s="216"/>
      <c r="ONC33" s="216"/>
      <c r="OND33" s="216"/>
      <c r="ONE33" s="216"/>
      <c r="ONF33" s="216"/>
      <c r="ONG33" s="216"/>
      <c r="ONH33" s="216"/>
      <c r="ONI33" s="216"/>
      <c r="ONJ33" s="216"/>
      <c r="ONK33" s="216"/>
      <c r="ONL33" s="216"/>
      <c r="ONM33" s="216"/>
      <c r="ONN33" s="216"/>
      <c r="ONO33" s="216"/>
      <c r="ONP33" s="216"/>
      <c r="ONQ33" s="216"/>
      <c r="ONR33" s="216"/>
      <c r="ONS33" s="216"/>
      <c r="ONT33" s="216"/>
      <c r="ONU33" s="216"/>
      <c r="ONV33" s="216"/>
      <c r="ONW33" s="216"/>
      <c r="ONX33" s="216"/>
      <c r="ONY33" s="216"/>
      <c r="ONZ33" s="216"/>
      <c r="OOA33" s="216"/>
      <c r="OOB33" s="216"/>
      <c r="OOC33" s="216"/>
      <c r="OOD33" s="216"/>
      <c r="OOE33" s="216"/>
      <c r="OOF33" s="216"/>
      <c r="OOG33" s="216"/>
      <c r="OOH33" s="216"/>
      <c r="OOI33" s="216"/>
      <c r="OOJ33" s="216"/>
      <c r="OOK33" s="216"/>
      <c r="OOL33" s="216"/>
      <c r="OOM33" s="216"/>
      <c r="OON33" s="216"/>
      <c r="OOO33" s="216"/>
      <c r="OOP33" s="216"/>
      <c r="OOQ33" s="216"/>
      <c r="OOR33" s="216"/>
      <c r="OOS33" s="216"/>
      <c r="OOT33" s="216"/>
      <c r="OOU33" s="216"/>
      <c r="OOV33" s="216"/>
      <c r="OOW33" s="216"/>
      <c r="OOX33" s="216"/>
      <c r="OOY33" s="216"/>
      <c r="OOZ33" s="216"/>
      <c r="OPA33" s="216"/>
      <c r="OPB33" s="216"/>
      <c r="OPC33" s="216"/>
      <c r="OPD33" s="216"/>
      <c r="OPE33" s="216"/>
      <c r="OPF33" s="216"/>
      <c r="OPG33" s="216"/>
      <c r="OPH33" s="216"/>
      <c r="OPI33" s="216"/>
      <c r="OPJ33" s="216"/>
      <c r="OPK33" s="216"/>
      <c r="OPL33" s="216"/>
      <c r="OPM33" s="216"/>
      <c r="OPN33" s="216"/>
      <c r="OPO33" s="216"/>
      <c r="OPP33" s="216"/>
      <c r="OPQ33" s="216"/>
      <c r="OPR33" s="216"/>
      <c r="OPS33" s="216"/>
      <c r="OPT33" s="216"/>
      <c r="OPU33" s="216"/>
      <c r="OPV33" s="216"/>
      <c r="OPW33" s="216"/>
      <c r="OPX33" s="216"/>
      <c r="OPY33" s="216"/>
      <c r="OPZ33" s="216"/>
      <c r="OQA33" s="216"/>
      <c r="OQB33" s="216"/>
      <c r="OQC33" s="216"/>
      <c r="OQD33" s="216"/>
      <c r="OQE33" s="216"/>
      <c r="OQF33" s="216"/>
      <c r="OQG33" s="216"/>
      <c r="OQH33" s="216"/>
      <c r="OQI33" s="216"/>
      <c r="OQJ33" s="216"/>
      <c r="OQK33" s="216"/>
      <c r="OQL33" s="216"/>
      <c r="OQM33" s="216"/>
      <c r="OQN33" s="216"/>
      <c r="OQO33" s="216"/>
      <c r="OQP33" s="216"/>
      <c r="OQQ33" s="216"/>
      <c r="OQR33" s="216"/>
      <c r="OQS33" s="216"/>
      <c r="OQT33" s="216"/>
      <c r="OQU33" s="216"/>
      <c r="OQV33" s="216"/>
      <c r="OQW33" s="216"/>
      <c r="OQX33" s="216"/>
      <c r="OQY33" s="216"/>
      <c r="OQZ33" s="216"/>
      <c r="ORA33" s="216"/>
      <c r="ORB33" s="216"/>
      <c r="ORC33" s="216"/>
      <c r="ORD33" s="216"/>
      <c r="ORE33" s="216"/>
      <c r="ORF33" s="216"/>
      <c r="ORG33" s="216"/>
      <c r="ORH33" s="216"/>
      <c r="ORI33" s="216"/>
      <c r="ORJ33" s="216"/>
      <c r="ORK33" s="216"/>
      <c r="ORL33" s="216"/>
      <c r="ORM33" s="216"/>
      <c r="ORN33" s="216"/>
      <c r="ORO33" s="216"/>
      <c r="ORP33" s="216"/>
      <c r="ORQ33" s="216"/>
      <c r="ORR33" s="216"/>
      <c r="ORS33" s="216"/>
      <c r="ORT33" s="216"/>
      <c r="ORU33" s="216"/>
      <c r="ORV33" s="216"/>
      <c r="ORW33" s="216"/>
      <c r="ORX33" s="216"/>
      <c r="ORY33" s="216"/>
      <c r="ORZ33" s="216"/>
      <c r="OSA33" s="216"/>
      <c r="OSB33" s="216"/>
      <c r="OSC33" s="216"/>
      <c r="OSD33" s="216"/>
      <c r="OSE33" s="216"/>
      <c r="OSF33" s="216"/>
      <c r="OSG33" s="216"/>
      <c r="OSH33" s="216"/>
      <c r="OSI33" s="216"/>
      <c r="OSJ33" s="216"/>
      <c r="OSK33" s="216"/>
      <c r="OSL33" s="216"/>
      <c r="OSM33" s="216"/>
      <c r="OSN33" s="216"/>
      <c r="OSO33" s="216"/>
      <c r="OSP33" s="216"/>
      <c r="OSQ33" s="216"/>
      <c r="OSR33" s="216"/>
      <c r="OSS33" s="216"/>
      <c r="OST33" s="216"/>
      <c r="OSU33" s="216"/>
      <c r="OSV33" s="216"/>
      <c r="OSW33" s="216"/>
      <c r="OSX33" s="216"/>
      <c r="OSY33" s="216"/>
      <c r="OSZ33" s="216"/>
      <c r="OTA33" s="216"/>
      <c r="OTB33" s="216"/>
      <c r="OTC33" s="216"/>
      <c r="OTD33" s="216"/>
      <c r="OTE33" s="216"/>
      <c r="OTF33" s="216"/>
      <c r="OTG33" s="216"/>
      <c r="OTH33" s="216"/>
      <c r="OTI33" s="216"/>
      <c r="OTJ33" s="216"/>
      <c r="OTK33" s="216"/>
      <c r="OTL33" s="216"/>
      <c r="OTM33" s="216"/>
      <c r="OTN33" s="216"/>
      <c r="OTO33" s="216"/>
      <c r="OTP33" s="216"/>
      <c r="OTQ33" s="216"/>
      <c r="OTR33" s="216"/>
      <c r="OTS33" s="216"/>
      <c r="OTT33" s="216"/>
      <c r="OTU33" s="216"/>
      <c r="OTV33" s="216"/>
      <c r="OTW33" s="216"/>
      <c r="OTX33" s="216"/>
      <c r="OTY33" s="216"/>
      <c r="OTZ33" s="216"/>
      <c r="OUA33" s="216"/>
      <c r="OUB33" s="216"/>
      <c r="OUC33" s="216"/>
      <c r="OUD33" s="216"/>
      <c r="OUE33" s="216"/>
      <c r="OUF33" s="216"/>
      <c r="OUG33" s="216"/>
      <c r="OUH33" s="216"/>
      <c r="OUI33" s="216"/>
      <c r="OUJ33" s="216"/>
      <c r="OUK33" s="216"/>
      <c r="OUL33" s="216"/>
      <c r="OUM33" s="216"/>
      <c r="OUN33" s="216"/>
      <c r="OUO33" s="216"/>
      <c r="OUP33" s="216"/>
      <c r="OUQ33" s="216"/>
      <c r="OUR33" s="216"/>
      <c r="OUS33" s="216"/>
      <c r="OUT33" s="216"/>
      <c r="OUU33" s="216"/>
      <c r="OUV33" s="216"/>
      <c r="OUW33" s="216"/>
      <c r="OUX33" s="216"/>
      <c r="OUY33" s="216"/>
      <c r="OUZ33" s="216"/>
      <c r="OVA33" s="216"/>
      <c r="OVB33" s="216"/>
      <c r="OVC33" s="216"/>
      <c r="OVD33" s="216"/>
      <c r="OVE33" s="216"/>
      <c r="OVF33" s="216"/>
      <c r="OVG33" s="216"/>
      <c r="OVH33" s="216"/>
      <c r="OVI33" s="216"/>
      <c r="OVJ33" s="216"/>
      <c r="OVK33" s="216"/>
      <c r="OVL33" s="216"/>
      <c r="OVM33" s="216"/>
      <c r="OVN33" s="216"/>
      <c r="OVO33" s="216"/>
      <c r="OVP33" s="216"/>
      <c r="OVQ33" s="216"/>
      <c r="OVR33" s="216"/>
      <c r="OVS33" s="216"/>
      <c r="OVT33" s="216"/>
      <c r="OVU33" s="216"/>
      <c r="OVV33" s="216"/>
      <c r="OVW33" s="216"/>
      <c r="OVX33" s="216"/>
      <c r="OVY33" s="216"/>
      <c r="OVZ33" s="216"/>
      <c r="OWA33" s="216"/>
      <c r="OWB33" s="216"/>
      <c r="OWC33" s="216"/>
      <c r="OWD33" s="216"/>
      <c r="OWE33" s="216"/>
      <c r="OWF33" s="216"/>
      <c r="OWG33" s="216"/>
      <c r="OWH33" s="216"/>
      <c r="OWI33" s="216"/>
      <c r="OWJ33" s="216"/>
      <c r="OWK33" s="216"/>
      <c r="OWL33" s="216"/>
      <c r="OWM33" s="216"/>
      <c r="OWN33" s="216"/>
      <c r="OWO33" s="216"/>
      <c r="OWP33" s="216"/>
      <c r="OWQ33" s="216"/>
      <c r="OWR33" s="216"/>
      <c r="OWS33" s="216"/>
      <c r="OWT33" s="216"/>
      <c r="OWU33" s="216"/>
      <c r="OWV33" s="216"/>
      <c r="OWW33" s="216"/>
      <c r="OWX33" s="216"/>
      <c r="OWY33" s="216"/>
      <c r="OWZ33" s="216"/>
      <c r="OXA33" s="216"/>
      <c r="OXB33" s="216"/>
      <c r="OXC33" s="216"/>
      <c r="OXD33" s="216"/>
      <c r="OXE33" s="216"/>
      <c r="OXF33" s="216"/>
      <c r="OXG33" s="216"/>
      <c r="OXH33" s="216"/>
      <c r="OXI33" s="216"/>
      <c r="OXJ33" s="216"/>
      <c r="OXK33" s="216"/>
      <c r="OXL33" s="216"/>
      <c r="OXM33" s="216"/>
      <c r="OXN33" s="216"/>
      <c r="OXO33" s="216"/>
      <c r="OXP33" s="216"/>
      <c r="OXQ33" s="216"/>
      <c r="OXR33" s="216"/>
      <c r="OXS33" s="216"/>
      <c r="OXT33" s="216"/>
      <c r="OXU33" s="216"/>
      <c r="OXV33" s="216"/>
      <c r="OXW33" s="216"/>
      <c r="OXX33" s="216"/>
      <c r="OXY33" s="216"/>
      <c r="OXZ33" s="216"/>
      <c r="OYA33" s="216"/>
      <c r="OYB33" s="216"/>
      <c r="OYC33" s="216"/>
      <c r="OYD33" s="216"/>
      <c r="OYE33" s="216"/>
      <c r="OYF33" s="216"/>
      <c r="OYG33" s="216"/>
      <c r="OYH33" s="216"/>
      <c r="OYI33" s="216"/>
      <c r="OYJ33" s="216"/>
      <c r="OYK33" s="216"/>
      <c r="OYL33" s="216"/>
      <c r="OYM33" s="216"/>
      <c r="OYN33" s="216"/>
      <c r="OYO33" s="216"/>
      <c r="OYP33" s="216"/>
      <c r="OYQ33" s="216"/>
      <c r="OYR33" s="216"/>
      <c r="OYS33" s="216"/>
      <c r="OYT33" s="216"/>
      <c r="OYU33" s="216"/>
      <c r="OYV33" s="216"/>
      <c r="OYW33" s="216"/>
      <c r="OYX33" s="216"/>
      <c r="OYY33" s="216"/>
      <c r="OYZ33" s="216"/>
      <c r="OZA33" s="216"/>
      <c r="OZB33" s="216"/>
      <c r="OZC33" s="216"/>
      <c r="OZD33" s="216"/>
      <c r="OZE33" s="216"/>
      <c r="OZF33" s="216"/>
      <c r="OZG33" s="216"/>
      <c r="OZH33" s="216"/>
      <c r="OZI33" s="216"/>
      <c r="OZJ33" s="216"/>
      <c r="OZK33" s="216"/>
      <c r="OZL33" s="216"/>
      <c r="OZM33" s="216"/>
      <c r="OZN33" s="216"/>
      <c r="OZO33" s="216"/>
      <c r="OZP33" s="216"/>
      <c r="OZQ33" s="216"/>
      <c r="OZR33" s="216"/>
      <c r="OZS33" s="216"/>
      <c r="OZT33" s="216"/>
      <c r="OZU33" s="216"/>
      <c r="OZV33" s="216"/>
      <c r="OZW33" s="216"/>
      <c r="OZX33" s="216"/>
      <c r="OZY33" s="216"/>
      <c r="OZZ33" s="216"/>
      <c r="PAA33" s="216"/>
      <c r="PAB33" s="216"/>
      <c r="PAC33" s="216"/>
      <c r="PAD33" s="216"/>
      <c r="PAE33" s="216"/>
      <c r="PAF33" s="216"/>
      <c r="PAG33" s="216"/>
      <c r="PAH33" s="216"/>
      <c r="PAI33" s="216"/>
      <c r="PAJ33" s="216"/>
      <c r="PAK33" s="216"/>
      <c r="PAL33" s="216"/>
      <c r="PAM33" s="216"/>
      <c r="PAN33" s="216"/>
      <c r="PAO33" s="216"/>
      <c r="PAP33" s="216"/>
      <c r="PAQ33" s="216"/>
      <c r="PAR33" s="216"/>
      <c r="PAS33" s="216"/>
      <c r="PAT33" s="216"/>
      <c r="PAU33" s="216"/>
      <c r="PAV33" s="216"/>
      <c r="PAW33" s="216"/>
      <c r="PAX33" s="216"/>
      <c r="PAY33" s="216"/>
      <c r="PAZ33" s="216"/>
      <c r="PBA33" s="216"/>
      <c r="PBB33" s="216"/>
      <c r="PBC33" s="216"/>
      <c r="PBD33" s="216"/>
      <c r="PBE33" s="216"/>
      <c r="PBF33" s="216"/>
      <c r="PBG33" s="216"/>
      <c r="PBH33" s="216"/>
      <c r="PBI33" s="216"/>
      <c r="PBJ33" s="216"/>
      <c r="PBK33" s="216"/>
      <c r="PBL33" s="216"/>
      <c r="PBM33" s="216"/>
      <c r="PBN33" s="216"/>
      <c r="PBO33" s="216"/>
      <c r="PBP33" s="216"/>
      <c r="PBQ33" s="216"/>
      <c r="PBR33" s="216"/>
      <c r="PBS33" s="216"/>
      <c r="PBT33" s="216"/>
      <c r="PBU33" s="216"/>
      <c r="PBV33" s="216"/>
      <c r="PBW33" s="216"/>
      <c r="PBX33" s="216"/>
      <c r="PBY33" s="216"/>
      <c r="PBZ33" s="216"/>
      <c r="PCA33" s="216"/>
      <c r="PCB33" s="216"/>
      <c r="PCC33" s="216"/>
      <c r="PCD33" s="216"/>
      <c r="PCE33" s="216"/>
      <c r="PCF33" s="216"/>
      <c r="PCG33" s="216"/>
      <c r="PCH33" s="216"/>
      <c r="PCI33" s="216"/>
      <c r="PCJ33" s="216"/>
      <c r="PCK33" s="216"/>
      <c r="PCL33" s="216"/>
      <c r="PCM33" s="216"/>
      <c r="PCN33" s="216"/>
      <c r="PCO33" s="216"/>
      <c r="PCP33" s="216"/>
      <c r="PCQ33" s="216"/>
      <c r="PCR33" s="216"/>
      <c r="PCS33" s="216"/>
      <c r="PCT33" s="216"/>
      <c r="PCU33" s="216"/>
      <c r="PCV33" s="216"/>
      <c r="PCW33" s="216"/>
      <c r="PCX33" s="216"/>
      <c r="PCY33" s="216"/>
      <c r="PCZ33" s="216"/>
      <c r="PDA33" s="216"/>
      <c r="PDB33" s="216"/>
      <c r="PDC33" s="216"/>
      <c r="PDD33" s="216"/>
      <c r="PDE33" s="216"/>
      <c r="PDF33" s="216"/>
      <c r="PDG33" s="216"/>
      <c r="PDH33" s="216"/>
      <c r="PDI33" s="216"/>
      <c r="PDJ33" s="216"/>
      <c r="PDK33" s="216"/>
      <c r="PDL33" s="216"/>
      <c r="PDM33" s="216"/>
      <c r="PDN33" s="216"/>
      <c r="PDO33" s="216"/>
      <c r="PDP33" s="216"/>
      <c r="PDQ33" s="216"/>
      <c r="PDR33" s="216"/>
      <c r="PDS33" s="216"/>
      <c r="PDT33" s="216"/>
      <c r="PDU33" s="216"/>
      <c r="PDV33" s="216"/>
      <c r="PDW33" s="216"/>
      <c r="PDX33" s="216"/>
      <c r="PDY33" s="216"/>
      <c r="PDZ33" s="216"/>
      <c r="PEA33" s="216"/>
      <c r="PEB33" s="216"/>
      <c r="PEC33" s="216"/>
      <c r="PED33" s="216"/>
      <c r="PEE33" s="216"/>
      <c r="PEF33" s="216"/>
      <c r="PEG33" s="216"/>
      <c r="PEH33" s="216"/>
      <c r="PEI33" s="216"/>
      <c r="PEJ33" s="216"/>
      <c r="PEK33" s="216"/>
      <c r="PEL33" s="216"/>
      <c r="PEM33" s="216"/>
      <c r="PEN33" s="216"/>
      <c r="PEO33" s="216"/>
      <c r="PEP33" s="216"/>
      <c r="PEQ33" s="216"/>
      <c r="PER33" s="216"/>
      <c r="PES33" s="216"/>
      <c r="PET33" s="216"/>
      <c r="PEU33" s="216"/>
      <c r="PEV33" s="216"/>
      <c r="PEW33" s="216"/>
      <c r="PEX33" s="216"/>
      <c r="PEY33" s="216"/>
      <c r="PEZ33" s="216"/>
      <c r="PFA33" s="216"/>
      <c r="PFB33" s="216"/>
      <c r="PFC33" s="216"/>
      <c r="PFD33" s="216"/>
      <c r="PFE33" s="216"/>
      <c r="PFF33" s="216"/>
      <c r="PFG33" s="216"/>
      <c r="PFH33" s="216"/>
      <c r="PFI33" s="216"/>
      <c r="PFJ33" s="216"/>
      <c r="PFK33" s="216"/>
      <c r="PFL33" s="216"/>
      <c r="PFM33" s="216"/>
      <c r="PFN33" s="216"/>
      <c r="PFO33" s="216"/>
      <c r="PFP33" s="216"/>
      <c r="PFQ33" s="216"/>
      <c r="PFR33" s="216"/>
      <c r="PFS33" s="216"/>
      <c r="PFT33" s="216"/>
      <c r="PFU33" s="216"/>
      <c r="PFV33" s="216"/>
      <c r="PFW33" s="216"/>
      <c r="PFX33" s="216"/>
      <c r="PFY33" s="216"/>
      <c r="PFZ33" s="216"/>
      <c r="PGA33" s="216"/>
      <c r="PGB33" s="216"/>
      <c r="PGC33" s="216"/>
      <c r="PGD33" s="216"/>
      <c r="PGE33" s="216"/>
      <c r="PGF33" s="216"/>
      <c r="PGG33" s="216"/>
      <c r="PGH33" s="216"/>
      <c r="PGI33" s="216"/>
      <c r="PGJ33" s="216"/>
      <c r="PGK33" s="216"/>
      <c r="PGL33" s="216"/>
      <c r="PGM33" s="216"/>
      <c r="PGN33" s="216"/>
      <c r="PGO33" s="216"/>
      <c r="PGP33" s="216"/>
      <c r="PGQ33" s="216"/>
      <c r="PGR33" s="216"/>
      <c r="PGS33" s="216"/>
      <c r="PGT33" s="216"/>
      <c r="PGU33" s="216"/>
      <c r="PGV33" s="216"/>
      <c r="PGW33" s="216"/>
      <c r="PGX33" s="216"/>
      <c r="PGY33" s="216"/>
      <c r="PGZ33" s="216"/>
      <c r="PHA33" s="216"/>
      <c r="PHB33" s="216"/>
      <c r="PHC33" s="216"/>
      <c r="PHD33" s="216"/>
      <c r="PHE33" s="216"/>
      <c r="PHF33" s="216"/>
      <c r="PHG33" s="216"/>
      <c r="PHH33" s="216"/>
      <c r="PHI33" s="216"/>
      <c r="PHJ33" s="216"/>
      <c r="PHK33" s="216"/>
      <c r="PHL33" s="216"/>
      <c r="PHM33" s="216"/>
      <c r="PHN33" s="216"/>
      <c r="PHO33" s="216"/>
      <c r="PHP33" s="216"/>
      <c r="PHQ33" s="216"/>
      <c r="PHR33" s="216"/>
      <c r="PHS33" s="216"/>
      <c r="PHT33" s="216"/>
      <c r="PHU33" s="216"/>
      <c r="PHV33" s="216"/>
      <c r="PHW33" s="216"/>
      <c r="PHX33" s="216"/>
      <c r="PHY33" s="216"/>
      <c r="PHZ33" s="216"/>
      <c r="PIA33" s="216"/>
      <c r="PIB33" s="216"/>
      <c r="PIC33" s="216"/>
      <c r="PID33" s="216"/>
      <c r="PIE33" s="216"/>
      <c r="PIF33" s="216"/>
      <c r="PIG33" s="216"/>
      <c r="PIH33" s="216"/>
      <c r="PII33" s="216"/>
      <c r="PIJ33" s="216"/>
      <c r="PIK33" s="216"/>
      <c r="PIL33" s="216"/>
      <c r="PIM33" s="216"/>
      <c r="PIN33" s="216"/>
      <c r="PIO33" s="216"/>
      <c r="PIP33" s="216"/>
      <c r="PIQ33" s="216"/>
      <c r="PIR33" s="216"/>
      <c r="PIS33" s="216"/>
      <c r="PIT33" s="216"/>
      <c r="PIU33" s="216"/>
      <c r="PIV33" s="216"/>
      <c r="PIW33" s="216"/>
      <c r="PIX33" s="216"/>
      <c r="PIY33" s="216"/>
      <c r="PIZ33" s="216"/>
      <c r="PJA33" s="216"/>
      <c r="PJB33" s="216"/>
      <c r="PJC33" s="216"/>
      <c r="PJD33" s="216"/>
      <c r="PJE33" s="216"/>
      <c r="PJF33" s="216"/>
      <c r="PJG33" s="216"/>
      <c r="PJH33" s="216"/>
      <c r="PJI33" s="216"/>
      <c r="PJJ33" s="216"/>
      <c r="PJK33" s="216"/>
      <c r="PJL33" s="216"/>
      <c r="PJM33" s="216"/>
      <c r="PJN33" s="216"/>
      <c r="PJO33" s="216"/>
      <c r="PJP33" s="216"/>
      <c r="PJQ33" s="216"/>
      <c r="PJR33" s="216"/>
      <c r="PJS33" s="216"/>
      <c r="PJT33" s="216"/>
      <c r="PJU33" s="216"/>
      <c r="PJV33" s="216"/>
      <c r="PJW33" s="216"/>
      <c r="PJX33" s="216"/>
      <c r="PJY33" s="216"/>
      <c r="PJZ33" s="216"/>
      <c r="PKA33" s="216"/>
      <c r="PKB33" s="216"/>
      <c r="PKC33" s="216"/>
      <c r="PKD33" s="216"/>
      <c r="PKE33" s="216"/>
      <c r="PKF33" s="216"/>
      <c r="PKG33" s="216"/>
      <c r="PKH33" s="216"/>
      <c r="PKI33" s="216"/>
      <c r="PKJ33" s="216"/>
      <c r="PKK33" s="216"/>
      <c r="PKL33" s="216"/>
      <c r="PKM33" s="216"/>
      <c r="PKN33" s="216"/>
      <c r="PKO33" s="216"/>
      <c r="PKP33" s="216"/>
      <c r="PKQ33" s="216"/>
      <c r="PKR33" s="216"/>
      <c r="PKS33" s="216"/>
      <c r="PKT33" s="216"/>
      <c r="PKU33" s="216"/>
      <c r="PKV33" s="216"/>
      <c r="PKW33" s="216"/>
      <c r="PKX33" s="216"/>
      <c r="PKY33" s="216"/>
      <c r="PKZ33" s="216"/>
      <c r="PLA33" s="216"/>
      <c r="PLB33" s="216"/>
      <c r="PLC33" s="216"/>
      <c r="PLD33" s="216"/>
      <c r="PLE33" s="216"/>
      <c r="PLF33" s="216"/>
      <c r="PLG33" s="216"/>
      <c r="PLH33" s="216"/>
      <c r="PLI33" s="216"/>
      <c r="PLJ33" s="216"/>
      <c r="PLK33" s="216"/>
      <c r="PLL33" s="216"/>
      <c r="PLM33" s="216"/>
      <c r="PLN33" s="216"/>
      <c r="PLO33" s="216"/>
      <c r="PLP33" s="216"/>
      <c r="PLQ33" s="216"/>
      <c r="PLR33" s="216"/>
      <c r="PLS33" s="216"/>
      <c r="PLT33" s="216"/>
      <c r="PLU33" s="216"/>
      <c r="PLV33" s="216"/>
      <c r="PLW33" s="216"/>
      <c r="PLX33" s="216"/>
      <c r="PLY33" s="216"/>
      <c r="PLZ33" s="216"/>
      <c r="PMA33" s="216"/>
      <c r="PMB33" s="216"/>
      <c r="PMC33" s="216"/>
      <c r="PMD33" s="216"/>
      <c r="PME33" s="216"/>
      <c r="PMF33" s="216"/>
      <c r="PMG33" s="216"/>
      <c r="PMH33" s="216"/>
      <c r="PMI33" s="216"/>
      <c r="PMJ33" s="216"/>
      <c r="PMK33" s="216"/>
      <c r="PML33" s="216"/>
      <c r="PMM33" s="216"/>
      <c r="PMN33" s="216"/>
      <c r="PMO33" s="216"/>
      <c r="PMP33" s="216"/>
      <c r="PMQ33" s="216"/>
      <c r="PMR33" s="216"/>
      <c r="PMS33" s="216"/>
      <c r="PMT33" s="216"/>
      <c r="PMU33" s="216"/>
      <c r="PMV33" s="216"/>
      <c r="PMW33" s="216"/>
      <c r="PMX33" s="216"/>
      <c r="PMY33" s="216"/>
      <c r="PMZ33" s="216"/>
      <c r="PNA33" s="216"/>
      <c r="PNB33" s="216"/>
      <c r="PNC33" s="216"/>
      <c r="PND33" s="216"/>
      <c r="PNE33" s="216"/>
      <c r="PNF33" s="216"/>
      <c r="PNG33" s="216"/>
      <c r="PNH33" s="216"/>
      <c r="PNI33" s="216"/>
      <c r="PNJ33" s="216"/>
      <c r="PNK33" s="216"/>
      <c r="PNL33" s="216"/>
      <c r="PNM33" s="216"/>
      <c r="PNN33" s="216"/>
      <c r="PNO33" s="216"/>
      <c r="PNP33" s="216"/>
      <c r="PNQ33" s="216"/>
      <c r="PNR33" s="216"/>
      <c r="PNS33" s="216"/>
      <c r="PNT33" s="216"/>
      <c r="PNU33" s="216"/>
      <c r="PNV33" s="216"/>
      <c r="PNW33" s="216"/>
      <c r="PNX33" s="216"/>
      <c r="PNY33" s="216"/>
      <c r="PNZ33" s="216"/>
      <c r="POA33" s="216"/>
      <c r="POB33" s="216"/>
      <c r="POC33" s="216"/>
      <c r="POD33" s="216"/>
      <c r="POE33" s="216"/>
      <c r="POF33" s="216"/>
      <c r="POG33" s="216"/>
      <c r="POH33" s="216"/>
      <c r="POI33" s="216"/>
      <c r="POJ33" s="216"/>
      <c r="POK33" s="216"/>
      <c r="POL33" s="216"/>
      <c r="POM33" s="216"/>
      <c r="PON33" s="216"/>
      <c r="POO33" s="216"/>
      <c r="POP33" s="216"/>
      <c r="POQ33" s="216"/>
      <c r="POR33" s="216"/>
      <c r="POS33" s="216"/>
      <c r="POT33" s="216"/>
      <c r="POU33" s="216"/>
      <c r="POV33" s="216"/>
      <c r="POW33" s="216"/>
      <c r="POX33" s="216"/>
      <c r="POY33" s="216"/>
      <c r="POZ33" s="216"/>
      <c r="PPA33" s="216"/>
      <c r="PPB33" s="216"/>
      <c r="PPC33" s="216"/>
      <c r="PPD33" s="216"/>
      <c r="PPE33" s="216"/>
      <c r="PPF33" s="216"/>
      <c r="PPG33" s="216"/>
      <c r="PPH33" s="216"/>
      <c r="PPI33" s="216"/>
      <c r="PPJ33" s="216"/>
      <c r="PPK33" s="216"/>
      <c r="PPL33" s="216"/>
      <c r="PPM33" s="216"/>
      <c r="PPN33" s="216"/>
      <c r="PPO33" s="216"/>
      <c r="PPP33" s="216"/>
      <c r="PPQ33" s="216"/>
      <c r="PPR33" s="216"/>
      <c r="PPS33" s="216"/>
      <c r="PPT33" s="216"/>
      <c r="PPU33" s="216"/>
      <c r="PPV33" s="216"/>
      <c r="PPW33" s="216"/>
      <c r="PPX33" s="216"/>
      <c r="PPY33" s="216"/>
      <c r="PPZ33" s="216"/>
      <c r="PQA33" s="216"/>
      <c r="PQB33" s="216"/>
      <c r="PQC33" s="216"/>
      <c r="PQD33" s="216"/>
      <c r="PQE33" s="216"/>
      <c r="PQF33" s="216"/>
      <c r="PQG33" s="216"/>
      <c r="PQH33" s="216"/>
      <c r="PQI33" s="216"/>
      <c r="PQJ33" s="216"/>
      <c r="PQK33" s="216"/>
      <c r="PQL33" s="216"/>
      <c r="PQM33" s="216"/>
      <c r="PQN33" s="216"/>
      <c r="PQO33" s="216"/>
      <c r="PQP33" s="216"/>
      <c r="PQQ33" s="216"/>
      <c r="PQR33" s="216"/>
      <c r="PQS33" s="216"/>
      <c r="PQT33" s="216"/>
      <c r="PQU33" s="216"/>
      <c r="PQV33" s="216"/>
      <c r="PQW33" s="216"/>
      <c r="PQX33" s="216"/>
      <c r="PQY33" s="216"/>
      <c r="PQZ33" s="216"/>
      <c r="PRA33" s="216"/>
      <c r="PRB33" s="216"/>
      <c r="PRC33" s="216"/>
      <c r="PRD33" s="216"/>
      <c r="PRE33" s="216"/>
      <c r="PRF33" s="216"/>
      <c r="PRG33" s="216"/>
      <c r="PRH33" s="216"/>
      <c r="PRI33" s="216"/>
      <c r="PRJ33" s="216"/>
      <c r="PRK33" s="216"/>
      <c r="PRL33" s="216"/>
      <c r="PRM33" s="216"/>
      <c r="PRN33" s="216"/>
      <c r="PRO33" s="216"/>
      <c r="PRP33" s="216"/>
      <c r="PRQ33" s="216"/>
      <c r="PRR33" s="216"/>
      <c r="PRS33" s="216"/>
      <c r="PRT33" s="216"/>
      <c r="PRU33" s="216"/>
      <c r="PRV33" s="216"/>
      <c r="PRW33" s="216"/>
      <c r="PRX33" s="216"/>
      <c r="PRY33" s="216"/>
      <c r="PRZ33" s="216"/>
      <c r="PSA33" s="216"/>
      <c r="PSB33" s="216"/>
      <c r="PSC33" s="216"/>
      <c r="PSD33" s="216"/>
      <c r="PSE33" s="216"/>
      <c r="PSF33" s="216"/>
      <c r="PSG33" s="216"/>
      <c r="PSH33" s="216"/>
      <c r="PSI33" s="216"/>
      <c r="PSJ33" s="216"/>
      <c r="PSK33" s="216"/>
      <c r="PSL33" s="216"/>
      <c r="PSM33" s="216"/>
      <c r="PSN33" s="216"/>
      <c r="PSO33" s="216"/>
      <c r="PSP33" s="216"/>
      <c r="PSQ33" s="216"/>
      <c r="PSR33" s="216"/>
      <c r="PSS33" s="216"/>
      <c r="PST33" s="216"/>
      <c r="PSU33" s="216"/>
      <c r="PSV33" s="216"/>
      <c r="PSW33" s="216"/>
      <c r="PSX33" s="216"/>
      <c r="PSY33" s="216"/>
      <c r="PSZ33" s="216"/>
      <c r="PTA33" s="216"/>
      <c r="PTB33" s="216"/>
      <c r="PTC33" s="216"/>
      <c r="PTD33" s="216"/>
      <c r="PTE33" s="216"/>
      <c r="PTF33" s="216"/>
      <c r="PTG33" s="216"/>
      <c r="PTH33" s="216"/>
      <c r="PTI33" s="216"/>
      <c r="PTJ33" s="216"/>
      <c r="PTK33" s="216"/>
      <c r="PTL33" s="216"/>
      <c r="PTM33" s="216"/>
      <c r="PTN33" s="216"/>
      <c r="PTO33" s="216"/>
      <c r="PTP33" s="216"/>
      <c r="PTQ33" s="216"/>
      <c r="PTR33" s="216"/>
      <c r="PTS33" s="216"/>
      <c r="PTT33" s="216"/>
      <c r="PTU33" s="216"/>
      <c r="PTV33" s="216"/>
      <c r="PTW33" s="216"/>
      <c r="PTX33" s="216"/>
      <c r="PTY33" s="216"/>
      <c r="PTZ33" s="216"/>
      <c r="PUA33" s="216"/>
      <c r="PUB33" s="216"/>
      <c r="PUC33" s="216"/>
      <c r="PUD33" s="216"/>
      <c r="PUE33" s="216"/>
      <c r="PUF33" s="216"/>
      <c r="PUG33" s="216"/>
      <c r="PUH33" s="216"/>
      <c r="PUI33" s="216"/>
      <c r="PUJ33" s="216"/>
      <c r="PUK33" s="216"/>
      <c r="PUL33" s="216"/>
      <c r="PUM33" s="216"/>
      <c r="PUN33" s="216"/>
      <c r="PUO33" s="216"/>
      <c r="PUP33" s="216"/>
      <c r="PUQ33" s="216"/>
      <c r="PUR33" s="216"/>
      <c r="PUS33" s="216"/>
      <c r="PUT33" s="216"/>
      <c r="PUU33" s="216"/>
      <c r="PUV33" s="216"/>
      <c r="PUW33" s="216"/>
      <c r="PUX33" s="216"/>
      <c r="PUY33" s="216"/>
      <c r="PUZ33" s="216"/>
      <c r="PVA33" s="216"/>
      <c r="PVB33" s="216"/>
      <c r="PVC33" s="216"/>
      <c r="PVD33" s="216"/>
      <c r="PVE33" s="216"/>
      <c r="PVF33" s="216"/>
      <c r="PVG33" s="216"/>
      <c r="PVH33" s="216"/>
      <c r="PVI33" s="216"/>
      <c r="PVJ33" s="216"/>
      <c r="PVK33" s="216"/>
      <c r="PVL33" s="216"/>
      <c r="PVM33" s="216"/>
      <c r="PVN33" s="216"/>
      <c r="PVO33" s="216"/>
      <c r="PVP33" s="216"/>
      <c r="PVQ33" s="216"/>
      <c r="PVR33" s="216"/>
      <c r="PVS33" s="216"/>
      <c r="PVT33" s="216"/>
      <c r="PVU33" s="216"/>
      <c r="PVV33" s="216"/>
      <c r="PVW33" s="216"/>
      <c r="PVX33" s="216"/>
      <c r="PVY33" s="216"/>
      <c r="PVZ33" s="216"/>
      <c r="PWA33" s="216"/>
      <c r="PWB33" s="216"/>
      <c r="PWC33" s="216"/>
      <c r="PWD33" s="216"/>
      <c r="PWE33" s="216"/>
      <c r="PWF33" s="216"/>
      <c r="PWG33" s="216"/>
      <c r="PWH33" s="216"/>
      <c r="PWI33" s="216"/>
      <c r="PWJ33" s="216"/>
      <c r="PWK33" s="216"/>
      <c r="PWL33" s="216"/>
      <c r="PWM33" s="216"/>
      <c r="PWN33" s="216"/>
      <c r="PWO33" s="216"/>
      <c r="PWP33" s="216"/>
      <c r="PWQ33" s="216"/>
      <c r="PWR33" s="216"/>
      <c r="PWS33" s="216"/>
      <c r="PWT33" s="216"/>
      <c r="PWU33" s="216"/>
      <c r="PWV33" s="216"/>
      <c r="PWW33" s="216"/>
      <c r="PWX33" s="216"/>
      <c r="PWY33" s="216"/>
      <c r="PWZ33" s="216"/>
      <c r="PXA33" s="216"/>
      <c r="PXB33" s="216"/>
      <c r="PXC33" s="216"/>
      <c r="PXD33" s="216"/>
      <c r="PXE33" s="216"/>
      <c r="PXF33" s="216"/>
      <c r="PXG33" s="216"/>
      <c r="PXH33" s="216"/>
      <c r="PXI33" s="216"/>
      <c r="PXJ33" s="216"/>
      <c r="PXK33" s="216"/>
      <c r="PXL33" s="216"/>
      <c r="PXM33" s="216"/>
      <c r="PXN33" s="216"/>
      <c r="PXO33" s="216"/>
      <c r="PXP33" s="216"/>
      <c r="PXQ33" s="216"/>
      <c r="PXR33" s="216"/>
      <c r="PXS33" s="216"/>
      <c r="PXT33" s="216"/>
      <c r="PXU33" s="216"/>
      <c r="PXV33" s="216"/>
      <c r="PXW33" s="216"/>
      <c r="PXX33" s="216"/>
      <c r="PXY33" s="216"/>
      <c r="PXZ33" s="216"/>
      <c r="PYA33" s="216"/>
      <c r="PYB33" s="216"/>
      <c r="PYC33" s="216"/>
      <c r="PYD33" s="216"/>
      <c r="PYE33" s="216"/>
      <c r="PYF33" s="216"/>
      <c r="PYG33" s="216"/>
      <c r="PYH33" s="216"/>
      <c r="PYI33" s="216"/>
      <c r="PYJ33" s="216"/>
      <c r="PYK33" s="216"/>
      <c r="PYL33" s="216"/>
      <c r="PYM33" s="216"/>
      <c r="PYN33" s="216"/>
      <c r="PYO33" s="216"/>
      <c r="PYP33" s="216"/>
      <c r="PYQ33" s="216"/>
      <c r="PYR33" s="216"/>
      <c r="PYS33" s="216"/>
      <c r="PYT33" s="216"/>
      <c r="PYU33" s="216"/>
      <c r="PYV33" s="216"/>
      <c r="PYW33" s="216"/>
      <c r="PYX33" s="216"/>
      <c r="PYY33" s="216"/>
      <c r="PYZ33" s="216"/>
      <c r="PZA33" s="216"/>
      <c r="PZB33" s="216"/>
      <c r="PZC33" s="216"/>
      <c r="PZD33" s="216"/>
      <c r="PZE33" s="216"/>
      <c r="PZF33" s="216"/>
      <c r="PZG33" s="216"/>
      <c r="PZH33" s="216"/>
      <c r="PZI33" s="216"/>
      <c r="PZJ33" s="216"/>
      <c r="PZK33" s="216"/>
      <c r="PZL33" s="216"/>
      <c r="PZM33" s="216"/>
      <c r="PZN33" s="216"/>
      <c r="PZO33" s="216"/>
      <c r="PZP33" s="216"/>
      <c r="PZQ33" s="216"/>
      <c r="PZR33" s="216"/>
      <c r="PZS33" s="216"/>
      <c r="PZT33" s="216"/>
      <c r="PZU33" s="216"/>
      <c r="PZV33" s="216"/>
      <c r="PZW33" s="216"/>
      <c r="PZX33" s="216"/>
      <c r="PZY33" s="216"/>
      <c r="PZZ33" s="216"/>
      <c r="QAA33" s="216"/>
      <c r="QAB33" s="216"/>
      <c r="QAC33" s="216"/>
      <c r="QAD33" s="216"/>
      <c r="QAE33" s="216"/>
      <c r="QAF33" s="216"/>
      <c r="QAG33" s="216"/>
      <c r="QAH33" s="216"/>
      <c r="QAI33" s="216"/>
      <c r="QAJ33" s="216"/>
      <c r="QAK33" s="216"/>
      <c r="QAL33" s="216"/>
      <c r="QAM33" s="216"/>
      <c r="QAN33" s="216"/>
      <c r="QAO33" s="216"/>
      <c r="QAP33" s="216"/>
      <c r="QAQ33" s="216"/>
      <c r="QAR33" s="216"/>
      <c r="QAS33" s="216"/>
      <c r="QAT33" s="216"/>
      <c r="QAU33" s="216"/>
      <c r="QAV33" s="216"/>
      <c r="QAW33" s="216"/>
      <c r="QAX33" s="216"/>
      <c r="QAY33" s="216"/>
      <c r="QAZ33" s="216"/>
      <c r="QBA33" s="216"/>
      <c r="QBB33" s="216"/>
      <c r="QBC33" s="216"/>
      <c r="QBD33" s="216"/>
      <c r="QBE33" s="216"/>
      <c r="QBF33" s="216"/>
      <c r="QBG33" s="216"/>
      <c r="QBH33" s="216"/>
      <c r="QBI33" s="216"/>
      <c r="QBJ33" s="216"/>
      <c r="QBK33" s="216"/>
      <c r="QBL33" s="216"/>
      <c r="QBM33" s="216"/>
      <c r="QBN33" s="216"/>
      <c r="QBO33" s="216"/>
      <c r="QBP33" s="216"/>
      <c r="QBQ33" s="216"/>
      <c r="QBR33" s="216"/>
      <c r="QBS33" s="216"/>
      <c r="QBT33" s="216"/>
      <c r="QBU33" s="216"/>
      <c r="QBV33" s="216"/>
      <c r="QBW33" s="216"/>
      <c r="QBX33" s="216"/>
      <c r="QBY33" s="216"/>
      <c r="QBZ33" s="216"/>
      <c r="QCA33" s="216"/>
      <c r="QCB33" s="216"/>
      <c r="QCC33" s="216"/>
      <c r="QCD33" s="216"/>
      <c r="QCE33" s="216"/>
      <c r="QCF33" s="216"/>
      <c r="QCG33" s="216"/>
      <c r="QCH33" s="216"/>
      <c r="QCI33" s="216"/>
      <c r="QCJ33" s="216"/>
      <c r="QCK33" s="216"/>
      <c r="QCL33" s="216"/>
      <c r="QCM33" s="216"/>
      <c r="QCN33" s="216"/>
      <c r="QCO33" s="216"/>
      <c r="QCP33" s="216"/>
      <c r="QCQ33" s="216"/>
      <c r="QCR33" s="216"/>
      <c r="QCS33" s="216"/>
      <c r="QCT33" s="216"/>
      <c r="QCU33" s="216"/>
      <c r="QCV33" s="216"/>
      <c r="QCW33" s="216"/>
      <c r="QCX33" s="216"/>
      <c r="QCY33" s="216"/>
      <c r="QCZ33" s="216"/>
      <c r="QDA33" s="216"/>
      <c r="QDB33" s="216"/>
      <c r="QDC33" s="216"/>
      <c r="QDD33" s="216"/>
      <c r="QDE33" s="216"/>
      <c r="QDF33" s="216"/>
      <c r="QDG33" s="216"/>
      <c r="QDH33" s="216"/>
      <c r="QDI33" s="216"/>
      <c r="QDJ33" s="216"/>
      <c r="QDK33" s="216"/>
      <c r="QDL33" s="216"/>
      <c r="QDM33" s="216"/>
      <c r="QDN33" s="216"/>
      <c r="QDO33" s="216"/>
      <c r="QDP33" s="216"/>
      <c r="QDQ33" s="216"/>
      <c r="QDR33" s="216"/>
      <c r="QDS33" s="216"/>
      <c r="QDT33" s="216"/>
      <c r="QDU33" s="216"/>
      <c r="QDV33" s="216"/>
      <c r="QDW33" s="216"/>
      <c r="QDX33" s="216"/>
      <c r="QDY33" s="216"/>
      <c r="QDZ33" s="216"/>
      <c r="QEA33" s="216"/>
      <c r="QEB33" s="216"/>
      <c r="QEC33" s="216"/>
      <c r="QED33" s="216"/>
      <c r="QEE33" s="216"/>
      <c r="QEF33" s="216"/>
      <c r="QEG33" s="216"/>
      <c r="QEH33" s="216"/>
      <c r="QEI33" s="216"/>
      <c r="QEJ33" s="216"/>
      <c r="QEK33" s="216"/>
      <c r="QEL33" s="216"/>
      <c r="QEM33" s="216"/>
      <c r="QEN33" s="216"/>
      <c r="QEO33" s="216"/>
      <c r="QEP33" s="216"/>
      <c r="QEQ33" s="216"/>
      <c r="QER33" s="216"/>
      <c r="QES33" s="216"/>
      <c r="QET33" s="216"/>
      <c r="QEU33" s="216"/>
      <c r="QEV33" s="216"/>
      <c r="QEW33" s="216"/>
      <c r="QEX33" s="216"/>
      <c r="QEY33" s="216"/>
      <c r="QEZ33" s="216"/>
      <c r="QFA33" s="216"/>
      <c r="QFB33" s="216"/>
      <c r="QFC33" s="216"/>
      <c r="QFD33" s="216"/>
      <c r="QFE33" s="216"/>
      <c r="QFF33" s="216"/>
      <c r="QFG33" s="216"/>
      <c r="QFH33" s="216"/>
      <c r="QFI33" s="216"/>
      <c r="QFJ33" s="216"/>
      <c r="QFK33" s="216"/>
      <c r="QFL33" s="216"/>
      <c r="QFM33" s="216"/>
      <c r="QFN33" s="216"/>
      <c r="QFO33" s="216"/>
      <c r="QFP33" s="216"/>
      <c r="QFQ33" s="216"/>
      <c r="QFR33" s="216"/>
      <c r="QFS33" s="216"/>
      <c r="QFT33" s="216"/>
      <c r="QFU33" s="216"/>
      <c r="QFV33" s="216"/>
      <c r="QFW33" s="216"/>
      <c r="QFX33" s="216"/>
      <c r="QFY33" s="216"/>
      <c r="QFZ33" s="216"/>
      <c r="QGA33" s="216"/>
      <c r="QGB33" s="216"/>
      <c r="QGC33" s="216"/>
      <c r="QGD33" s="216"/>
      <c r="QGE33" s="216"/>
      <c r="QGF33" s="216"/>
      <c r="QGG33" s="216"/>
      <c r="QGH33" s="216"/>
      <c r="QGI33" s="216"/>
      <c r="QGJ33" s="216"/>
      <c r="QGK33" s="216"/>
      <c r="QGL33" s="216"/>
      <c r="QGM33" s="216"/>
      <c r="QGN33" s="216"/>
      <c r="QGO33" s="216"/>
      <c r="QGP33" s="216"/>
      <c r="QGQ33" s="216"/>
      <c r="QGR33" s="216"/>
      <c r="QGS33" s="216"/>
      <c r="QGT33" s="216"/>
      <c r="QGU33" s="216"/>
      <c r="QGV33" s="216"/>
      <c r="QGW33" s="216"/>
      <c r="QGX33" s="216"/>
      <c r="QGY33" s="216"/>
      <c r="QGZ33" s="216"/>
      <c r="QHA33" s="216"/>
      <c r="QHB33" s="216"/>
      <c r="QHC33" s="216"/>
      <c r="QHD33" s="216"/>
      <c r="QHE33" s="216"/>
      <c r="QHF33" s="216"/>
      <c r="QHG33" s="216"/>
      <c r="QHH33" s="216"/>
      <c r="QHI33" s="216"/>
      <c r="QHJ33" s="216"/>
      <c r="QHK33" s="216"/>
      <c r="QHL33" s="216"/>
      <c r="QHM33" s="216"/>
      <c r="QHN33" s="216"/>
      <c r="QHO33" s="216"/>
      <c r="QHP33" s="216"/>
      <c r="QHQ33" s="216"/>
      <c r="QHR33" s="216"/>
      <c r="QHS33" s="216"/>
      <c r="QHT33" s="216"/>
      <c r="QHU33" s="216"/>
      <c r="QHV33" s="216"/>
      <c r="QHW33" s="216"/>
      <c r="QHX33" s="216"/>
      <c r="QHY33" s="216"/>
      <c r="QHZ33" s="216"/>
      <c r="QIA33" s="216"/>
      <c r="QIB33" s="216"/>
      <c r="QIC33" s="216"/>
      <c r="QID33" s="216"/>
      <c r="QIE33" s="216"/>
      <c r="QIF33" s="216"/>
      <c r="QIG33" s="216"/>
      <c r="QIH33" s="216"/>
      <c r="QII33" s="216"/>
      <c r="QIJ33" s="216"/>
      <c r="QIK33" s="216"/>
      <c r="QIL33" s="216"/>
      <c r="QIM33" s="216"/>
      <c r="QIN33" s="216"/>
      <c r="QIO33" s="216"/>
      <c r="QIP33" s="216"/>
      <c r="QIQ33" s="216"/>
      <c r="QIR33" s="216"/>
      <c r="QIS33" s="216"/>
      <c r="QIT33" s="216"/>
      <c r="QIU33" s="216"/>
      <c r="QIV33" s="216"/>
      <c r="QIW33" s="216"/>
      <c r="QIX33" s="216"/>
      <c r="QIY33" s="216"/>
      <c r="QIZ33" s="216"/>
      <c r="QJA33" s="216"/>
      <c r="QJB33" s="216"/>
      <c r="QJC33" s="216"/>
      <c r="QJD33" s="216"/>
      <c r="QJE33" s="216"/>
      <c r="QJF33" s="216"/>
      <c r="QJG33" s="216"/>
      <c r="QJH33" s="216"/>
      <c r="QJI33" s="216"/>
      <c r="QJJ33" s="216"/>
      <c r="QJK33" s="216"/>
      <c r="QJL33" s="216"/>
      <c r="QJM33" s="216"/>
      <c r="QJN33" s="216"/>
      <c r="QJO33" s="216"/>
      <c r="QJP33" s="216"/>
      <c r="QJQ33" s="216"/>
      <c r="QJR33" s="216"/>
      <c r="QJS33" s="216"/>
      <c r="QJT33" s="216"/>
      <c r="QJU33" s="216"/>
      <c r="QJV33" s="216"/>
      <c r="QJW33" s="216"/>
      <c r="QJX33" s="216"/>
      <c r="QJY33" s="216"/>
      <c r="QJZ33" s="216"/>
      <c r="QKA33" s="216"/>
      <c r="QKB33" s="216"/>
      <c r="QKC33" s="216"/>
      <c r="QKD33" s="216"/>
      <c r="QKE33" s="216"/>
      <c r="QKF33" s="216"/>
      <c r="QKG33" s="216"/>
      <c r="QKH33" s="216"/>
      <c r="QKI33" s="216"/>
      <c r="QKJ33" s="216"/>
      <c r="QKK33" s="216"/>
      <c r="QKL33" s="216"/>
      <c r="QKM33" s="216"/>
      <c r="QKN33" s="216"/>
      <c r="QKO33" s="216"/>
      <c r="QKP33" s="216"/>
      <c r="QKQ33" s="216"/>
      <c r="QKR33" s="216"/>
      <c r="QKS33" s="216"/>
      <c r="QKT33" s="216"/>
      <c r="QKU33" s="216"/>
      <c r="QKV33" s="216"/>
      <c r="QKW33" s="216"/>
      <c r="QKX33" s="216"/>
      <c r="QKY33" s="216"/>
      <c r="QKZ33" s="216"/>
      <c r="QLA33" s="216"/>
      <c r="QLB33" s="216"/>
      <c r="QLC33" s="216"/>
      <c r="QLD33" s="216"/>
      <c r="QLE33" s="216"/>
      <c r="QLF33" s="216"/>
      <c r="QLG33" s="216"/>
      <c r="QLH33" s="216"/>
      <c r="QLI33" s="216"/>
      <c r="QLJ33" s="216"/>
      <c r="QLK33" s="216"/>
      <c r="QLL33" s="216"/>
      <c r="QLM33" s="216"/>
      <c r="QLN33" s="216"/>
      <c r="QLO33" s="216"/>
      <c r="QLP33" s="216"/>
      <c r="QLQ33" s="216"/>
      <c r="QLR33" s="216"/>
      <c r="QLS33" s="216"/>
      <c r="QLT33" s="216"/>
      <c r="QLU33" s="216"/>
      <c r="QLV33" s="216"/>
      <c r="QLW33" s="216"/>
      <c r="QLX33" s="216"/>
      <c r="QLY33" s="216"/>
      <c r="QLZ33" s="216"/>
      <c r="QMA33" s="216"/>
      <c r="QMB33" s="216"/>
      <c r="QMC33" s="216"/>
      <c r="QMD33" s="216"/>
      <c r="QME33" s="216"/>
      <c r="QMF33" s="216"/>
      <c r="QMG33" s="216"/>
      <c r="QMH33" s="216"/>
      <c r="QMI33" s="216"/>
      <c r="QMJ33" s="216"/>
      <c r="QMK33" s="216"/>
      <c r="QML33" s="216"/>
      <c r="QMM33" s="216"/>
      <c r="QMN33" s="216"/>
      <c r="QMO33" s="216"/>
      <c r="QMP33" s="216"/>
      <c r="QMQ33" s="216"/>
      <c r="QMR33" s="216"/>
      <c r="QMS33" s="216"/>
      <c r="QMT33" s="216"/>
      <c r="QMU33" s="216"/>
      <c r="QMV33" s="216"/>
      <c r="QMW33" s="216"/>
      <c r="QMX33" s="216"/>
      <c r="QMY33" s="216"/>
      <c r="QMZ33" s="216"/>
      <c r="QNA33" s="216"/>
      <c r="QNB33" s="216"/>
      <c r="QNC33" s="216"/>
      <c r="QND33" s="216"/>
      <c r="QNE33" s="216"/>
      <c r="QNF33" s="216"/>
      <c r="QNG33" s="216"/>
      <c r="QNH33" s="216"/>
      <c r="QNI33" s="216"/>
      <c r="QNJ33" s="216"/>
      <c r="QNK33" s="216"/>
      <c r="QNL33" s="216"/>
      <c r="QNM33" s="216"/>
      <c r="QNN33" s="216"/>
      <c r="QNO33" s="216"/>
      <c r="QNP33" s="216"/>
      <c r="QNQ33" s="216"/>
      <c r="QNR33" s="216"/>
      <c r="QNS33" s="216"/>
      <c r="QNT33" s="216"/>
      <c r="QNU33" s="216"/>
      <c r="QNV33" s="216"/>
      <c r="QNW33" s="216"/>
      <c r="QNX33" s="216"/>
      <c r="QNY33" s="216"/>
      <c r="QNZ33" s="216"/>
      <c r="QOA33" s="216"/>
      <c r="QOB33" s="216"/>
      <c r="QOC33" s="216"/>
      <c r="QOD33" s="216"/>
      <c r="QOE33" s="216"/>
      <c r="QOF33" s="216"/>
      <c r="QOG33" s="216"/>
      <c r="QOH33" s="216"/>
      <c r="QOI33" s="216"/>
      <c r="QOJ33" s="216"/>
      <c r="QOK33" s="216"/>
      <c r="QOL33" s="216"/>
      <c r="QOM33" s="216"/>
      <c r="QON33" s="216"/>
      <c r="QOO33" s="216"/>
      <c r="QOP33" s="216"/>
      <c r="QOQ33" s="216"/>
      <c r="QOR33" s="216"/>
      <c r="QOS33" s="216"/>
      <c r="QOT33" s="216"/>
      <c r="QOU33" s="216"/>
      <c r="QOV33" s="216"/>
      <c r="QOW33" s="216"/>
      <c r="QOX33" s="216"/>
      <c r="QOY33" s="216"/>
      <c r="QOZ33" s="216"/>
      <c r="QPA33" s="216"/>
      <c r="QPB33" s="216"/>
      <c r="QPC33" s="216"/>
      <c r="QPD33" s="216"/>
      <c r="QPE33" s="216"/>
      <c r="QPF33" s="216"/>
      <c r="QPG33" s="216"/>
      <c r="QPH33" s="216"/>
      <c r="QPI33" s="216"/>
      <c r="QPJ33" s="216"/>
      <c r="QPK33" s="216"/>
      <c r="QPL33" s="216"/>
      <c r="QPM33" s="216"/>
      <c r="QPN33" s="216"/>
      <c r="QPO33" s="216"/>
      <c r="QPP33" s="216"/>
      <c r="QPQ33" s="216"/>
      <c r="QPR33" s="216"/>
      <c r="QPS33" s="216"/>
      <c r="QPT33" s="216"/>
      <c r="QPU33" s="216"/>
      <c r="QPV33" s="216"/>
      <c r="QPW33" s="216"/>
      <c r="QPX33" s="216"/>
      <c r="QPY33" s="216"/>
      <c r="QPZ33" s="216"/>
      <c r="QQA33" s="216"/>
      <c r="QQB33" s="216"/>
      <c r="QQC33" s="216"/>
      <c r="QQD33" s="216"/>
      <c r="QQE33" s="216"/>
      <c r="QQF33" s="216"/>
      <c r="QQG33" s="216"/>
      <c r="QQH33" s="216"/>
      <c r="QQI33" s="216"/>
      <c r="QQJ33" s="216"/>
      <c r="QQK33" s="216"/>
      <c r="QQL33" s="216"/>
      <c r="QQM33" s="216"/>
      <c r="QQN33" s="216"/>
      <c r="QQO33" s="216"/>
      <c r="QQP33" s="216"/>
      <c r="QQQ33" s="216"/>
      <c r="QQR33" s="216"/>
      <c r="QQS33" s="216"/>
      <c r="QQT33" s="216"/>
      <c r="QQU33" s="216"/>
      <c r="QQV33" s="216"/>
      <c r="QQW33" s="216"/>
      <c r="QQX33" s="216"/>
      <c r="QQY33" s="216"/>
      <c r="QQZ33" s="216"/>
      <c r="QRA33" s="216"/>
      <c r="QRB33" s="216"/>
      <c r="QRC33" s="216"/>
      <c r="QRD33" s="216"/>
      <c r="QRE33" s="216"/>
      <c r="QRF33" s="216"/>
      <c r="QRG33" s="216"/>
      <c r="QRH33" s="216"/>
      <c r="QRI33" s="216"/>
      <c r="QRJ33" s="216"/>
      <c r="QRK33" s="216"/>
      <c r="QRL33" s="216"/>
      <c r="QRM33" s="216"/>
      <c r="QRN33" s="216"/>
      <c r="QRO33" s="216"/>
      <c r="QRP33" s="216"/>
      <c r="QRQ33" s="216"/>
      <c r="QRR33" s="216"/>
      <c r="QRS33" s="216"/>
      <c r="QRT33" s="216"/>
      <c r="QRU33" s="216"/>
      <c r="QRV33" s="216"/>
      <c r="QRW33" s="216"/>
      <c r="QRX33" s="216"/>
      <c r="QRY33" s="216"/>
      <c r="QRZ33" s="216"/>
      <c r="QSA33" s="216"/>
      <c r="QSB33" s="216"/>
      <c r="QSC33" s="216"/>
      <c r="QSD33" s="216"/>
      <c r="QSE33" s="216"/>
      <c r="QSF33" s="216"/>
      <c r="QSG33" s="216"/>
      <c r="QSH33" s="216"/>
      <c r="QSI33" s="216"/>
      <c r="QSJ33" s="216"/>
      <c r="QSK33" s="216"/>
      <c r="QSL33" s="216"/>
      <c r="QSM33" s="216"/>
      <c r="QSN33" s="216"/>
      <c r="QSO33" s="216"/>
      <c r="QSP33" s="216"/>
      <c r="QSQ33" s="216"/>
      <c r="QSR33" s="216"/>
      <c r="QSS33" s="216"/>
      <c r="QST33" s="216"/>
      <c r="QSU33" s="216"/>
      <c r="QSV33" s="216"/>
      <c r="QSW33" s="216"/>
      <c r="QSX33" s="216"/>
      <c r="QSY33" s="216"/>
      <c r="QSZ33" s="216"/>
      <c r="QTA33" s="216"/>
      <c r="QTB33" s="216"/>
      <c r="QTC33" s="216"/>
      <c r="QTD33" s="216"/>
      <c r="QTE33" s="216"/>
      <c r="QTF33" s="216"/>
      <c r="QTG33" s="216"/>
      <c r="QTH33" s="216"/>
      <c r="QTI33" s="216"/>
      <c r="QTJ33" s="216"/>
      <c r="QTK33" s="216"/>
      <c r="QTL33" s="216"/>
      <c r="QTM33" s="216"/>
      <c r="QTN33" s="216"/>
      <c r="QTO33" s="216"/>
      <c r="QTP33" s="216"/>
      <c r="QTQ33" s="216"/>
      <c r="QTR33" s="216"/>
      <c r="QTS33" s="216"/>
      <c r="QTT33" s="216"/>
      <c r="QTU33" s="216"/>
      <c r="QTV33" s="216"/>
      <c r="QTW33" s="216"/>
      <c r="QTX33" s="216"/>
      <c r="QTY33" s="216"/>
      <c r="QTZ33" s="216"/>
      <c r="QUA33" s="216"/>
      <c r="QUB33" s="216"/>
      <c r="QUC33" s="216"/>
      <c r="QUD33" s="216"/>
      <c r="QUE33" s="216"/>
      <c r="QUF33" s="216"/>
      <c r="QUG33" s="216"/>
      <c r="QUH33" s="216"/>
      <c r="QUI33" s="216"/>
      <c r="QUJ33" s="216"/>
      <c r="QUK33" s="216"/>
      <c r="QUL33" s="216"/>
      <c r="QUM33" s="216"/>
      <c r="QUN33" s="216"/>
      <c r="QUO33" s="216"/>
      <c r="QUP33" s="216"/>
      <c r="QUQ33" s="216"/>
      <c r="QUR33" s="216"/>
      <c r="QUS33" s="216"/>
      <c r="QUT33" s="216"/>
      <c r="QUU33" s="216"/>
      <c r="QUV33" s="216"/>
      <c r="QUW33" s="216"/>
      <c r="QUX33" s="216"/>
      <c r="QUY33" s="216"/>
      <c r="QUZ33" s="216"/>
      <c r="QVA33" s="216"/>
      <c r="QVB33" s="216"/>
      <c r="QVC33" s="216"/>
      <c r="QVD33" s="216"/>
      <c r="QVE33" s="216"/>
      <c r="QVF33" s="216"/>
      <c r="QVG33" s="216"/>
      <c r="QVH33" s="216"/>
      <c r="QVI33" s="216"/>
      <c r="QVJ33" s="216"/>
      <c r="QVK33" s="216"/>
      <c r="QVL33" s="216"/>
      <c r="QVM33" s="216"/>
      <c r="QVN33" s="216"/>
      <c r="QVO33" s="216"/>
      <c r="QVP33" s="216"/>
      <c r="QVQ33" s="216"/>
      <c r="QVR33" s="216"/>
      <c r="QVS33" s="216"/>
      <c r="QVT33" s="216"/>
      <c r="QVU33" s="216"/>
      <c r="QVV33" s="216"/>
      <c r="QVW33" s="216"/>
      <c r="QVX33" s="216"/>
      <c r="QVY33" s="216"/>
      <c r="QVZ33" s="216"/>
      <c r="QWA33" s="216"/>
      <c r="QWB33" s="216"/>
      <c r="QWC33" s="216"/>
      <c r="QWD33" s="216"/>
      <c r="QWE33" s="216"/>
      <c r="QWF33" s="216"/>
      <c r="QWG33" s="216"/>
      <c r="QWH33" s="216"/>
      <c r="QWI33" s="216"/>
      <c r="QWJ33" s="216"/>
      <c r="QWK33" s="216"/>
      <c r="QWL33" s="216"/>
      <c r="QWM33" s="216"/>
      <c r="QWN33" s="216"/>
      <c r="QWO33" s="216"/>
      <c r="QWP33" s="216"/>
      <c r="QWQ33" s="216"/>
      <c r="QWR33" s="216"/>
      <c r="QWS33" s="216"/>
      <c r="QWT33" s="216"/>
      <c r="QWU33" s="216"/>
      <c r="QWV33" s="216"/>
      <c r="QWW33" s="216"/>
      <c r="QWX33" s="216"/>
      <c r="QWY33" s="216"/>
      <c r="QWZ33" s="216"/>
      <c r="QXA33" s="216"/>
      <c r="QXB33" s="216"/>
      <c r="QXC33" s="216"/>
      <c r="QXD33" s="216"/>
      <c r="QXE33" s="216"/>
      <c r="QXF33" s="216"/>
      <c r="QXG33" s="216"/>
      <c r="QXH33" s="216"/>
      <c r="QXI33" s="216"/>
      <c r="QXJ33" s="216"/>
      <c r="QXK33" s="216"/>
      <c r="QXL33" s="216"/>
      <c r="QXM33" s="216"/>
      <c r="QXN33" s="216"/>
      <c r="QXO33" s="216"/>
      <c r="QXP33" s="216"/>
      <c r="QXQ33" s="216"/>
      <c r="QXR33" s="216"/>
      <c r="QXS33" s="216"/>
      <c r="QXT33" s="216"/>
      <c r="QXU33" s="216"/>
      <c r="QXV33" s="216"/>
      <c r="QXW33" s="216"/>
      <c r="QXX33" s="216"/>
      <c r="QXY33" s="216"/>
      <c r="QXZ33" s="216"/>
      <c r="QYA33" s="216"/>
      <c r="QYB33" s="216"/>
      <c r="QYC33" s="216"/>
      <c r="QYD33" s="216"/>
      <c r="QYE33" s="216"/>
      <c r="QYF33" s="216"/>
      <c r="QYG33" s="216"/>
      <c r="QYH33" s="216"/>
      <c r="QYI33" s="216"/>
      <c r="QYJ33" s="216"/>
      <c r="QYK33" s="216"/>
      <c r="QYL33" s="216"/>
      <c r="QYM33" s="216"/>
      <c r="QYN33" s="216"/>
      <c r="QYO33" s="216"/>
      <c r="QYP33" s="216"/>
      <c r="QYQ33" s="216"/>
      <c r="QYR33" s="216"/>
      <c r="QYS33" s="216"/>
      <c r="QYT33" s="216"/>
      <c r="QYU33" s="216"/>
      <c r="QYV33" s="216"/>
      <c r="QYW33" s="216"/>
      <c r="QYX33" s="216"/>
      <c r="QYY33" s="216"/>
      <c r="QYZ33" s="216"/>
      <c r="QZA33" s="216"/>
      <c r="QZB33" s="216"/>
      <c r="QZC33" s="216"/>
      <c r="QZD33" s="216"/>
      <c r="QZE33" s="216"/>
      <c r="QZF33" s="216"/>
      <c r="QZG33" s="216"/>
      <c r="QZH33" s="216"/>
      <c r="QZI33" s="216"/>
      <c r="QZJ33" s="216"/>
      <c r="QZK33" s="216"/>
      <c r="QZL33" s="216"/>
      <c r="QZM33" s="216"/>
      <c r="QZN33" s="216"/>
      <c r="QZO33" s="216"/>
      <c r="QZP33" s="216"/>
      <c r="QZQ33" s="216"/>
      <c r="QZR33" s="216"/>
      <c r="QZS33" s="216"/>
      <c r="QZT33" s="216"/>
      <c r="QZU33" s="216"/>
      <c r="QZV33" s="216"/>
      <c r="QZW33" s="216"/>
      <c r="QZX33" s="216"/>
      <c r="QZY33" s="216"/>
      <c r="QZZ33" s="216"/>
      <c r="RAA33" s="216"/>
      <c r="RAB33" s="216"/>
      <c r="RAC33" s="216"/>
      <c r="RAD33" s="216"/>
      <c r="RAE33" s="216"/>
      <c r="RAF33" s="216"/>
      <c r="RAG33" s="216"/>
      <c r="RAH33" s="216"/>
      <c r="RAI33" s="216"/>
      <c r="RAJ33" s="216"/>
      <c r="RAK33" s="216"/>
      <c r="RAL33" s="216"/>
      <c r="RAM33" s="216"/>
      <c r="RAN33" s="216"/>
      <c r="RAO33" s="216"/>
      <c r="RAP33" s="216"/>
      <c r="RAQ33" s="216"/>
      <c r="RAR33" s="216"/>
      <c r="RAS33" s="216"/>
      <c r="RAT33" s="216"/>
      <c r="RAU33" s="216"/>
      <c r="RAV33" s="216"/>
      <c r="RAW33" s="216"/>
      <c r="RAX33" s="216"/>
      <c r="RAY33" s="216"/>
      <c r="RAZ33" s="216"/>
      <c r="RBA33" s="216"/>
      <c r="RBB33" s="216"/>
      <c r="RBC33" s="216"/>
      <c r="RBD33" s="216"/>
      <c r="RBE33" s="216"/>
      <c r="RBF33" s="216"/>
      <c r="RBG33" s="216"/>
      <c r="RBH33" s="216"/>
      <c r="RBI33" s="216"/>
      <c r="RBJ33" s="216"/>
      <c r="RBK33" s="216"/>
      <c r="RBL33" s="216"/>
      <c r="RBM33" s="216"/>
      <c r="RBN33" s="216"/>
      <c r="RBO33" s="216"/>
      <c r="RBP33" s="216"/>
      <c r="RBQ33" s="216"/>
      <c r="RBR33" s="216"/>
      <c r="RBS33" s="216"/>
      <c r="RBT33" s="216"/>
      <c r="RBU33" s="216"/>
      <c r="RBV33" s="216"/>
      <c r="RBW33" s="216"/>
      <c r="RBX33" s="216"/>
      <c r="RBY33" s="216"/>
      <c r="RBZ33" s="216"/>
      <c r="RCA33" s="216"/>
      <c r="RCB33" s="216"/>
      <c r="RCC33" s="216"/>
      <c r="RCD33" s="216"/>
      <c r="RCE33" s="216"/>
      <c r="RCF33" s="216"/>
      <c r="RCG33" s="216"/>
      <c r="RCH33" s="216"/>
      <c r="RCI33" s="216"/>
      <c r="RCJ33" s="216"/>
      <c r="RCK33" s="216"/>
      <c r="RCL33" s="216"/>
      <c r="RCM33" s="216"/>
      <c r="RCN33" s="216"/>
      <c r="RCO33" s="216"/>
      <c r="RCP33" s="216"/>
      <c r="RCQ33" s="216"/>
      <c r="RCR33" s="216"/>
      <c r="RCS33" s="216"/>
      <c r="RCT33" s="216"/>
      <c r="RCU33" s="216"/>
      <c r="RCV33" s="216"/>
      <c r="RCW33" s="216"/>
      <c r="RCX33" s="216"/>
      <c r="RCY33" s="216"/>
      <c r="RCZ33" s="216"/>
      <c r="RDA33" s="216"/>
      <c r="RDB33" s="216"/>
      <c r="RDC33" s="216"/>
      <c r="RDD33" s="216"/>
      <c r="RDE33" s="216"/>
      <c r="RDF33" s="216"/>
      <c r="RDG33" s="216"/>
      <c r="RDH33" s="216"/>
      <c r="RDI33" s="216"/>
      <c r="RDJ33" s="216"/>
      <c r="RDK33" s="216"/>
      <c r="RDL33" s="216"/>
      <c r="RDM33" s="216"/>
      <c r="RDN33" s="216"/>
      <c r="RDO33" s="216"/>
      <c r="RDP33" s="216"/>
      <c r="RDQ33" s="216"/>
      <c r="RDR33" s="216"/>
      <c r="RDS33" s="216"/>
      <c r="RDT33" s="216"/>
      <c r="RDU33" s="216"/>
      <c r="RDV33" s="216"/>
      <c r="RDW33" s="216"/>
      <c r="RDX33" s="216"/>
      <c r="RDY33" s="216"/>
      <c r="RDZ33" s="216"/>
      <c r="REA33" s="216"/>
      <c r="REB33" s="216"/>
      <c r="REC33" s="216"/>
      <c r="RED33" s="216"/>
      <c r="REE33" s="216"/>
      <c r="REF33" s="216"/>
      <c r="REG33" s="216"/>
      <c r="REH33" s="216"/>
      <c r="REI33" s="216"/>
      <c r="REJ33" s="216"/>
      <c r="REK33" s="216"/>
      <c r="REL33" s="216"/>
      <c r="REM33" s="216"/>
      <c r="REN33" s="216"/>
      <c r="REO33" s="216"/>
      <c r="REP33" s="216"/>
      <c r="REQ33" s="216"/>
      <c r="RER33" s="216"/>
      <c r="RES33" s="216"/>
      <c r="RET33" s="216"/>
      <c r="REU33" s="216"/>
      <c r="REV33" s="216"/>
      <c r="REW33" s="216"/>
      <c r="REX33" s="216"/>
      <c r="REY33" s="216"/>
      <c r="REZ33" s="216"/>
      <c r="RFA33" s="216"/>
      <c r="RFB33" s="216"/>
      <c r="RFC33" s="216"/>
      <c r="RFD33" s="216"/>
      <c r="RFE33" s="216"/>
      <c r="RFF33" s="216"/>
      <c r="RFG33" s="216"/>
      <c r="RFH33" s="216"/>
      <c r="RFI33" s="216"/>
      <c r="RFJ33" s="216"/>
      <c r="RFK33" s="216"/>
      <c r="RFL33" s="216"/>
      <c r="RFM33" s="216"/>
      <c r="RFN33" s="216"/>
      <c r="RFO33" s="216"/>
      <c r="RFP33" s="216"/>
      <c r="RFQ33" s="216"/>
      <c r="RFR33" s="216"/>
      <c r="RFS33" s="216"/>
      <c r="RFT33" s="216"/>
      <c r="RFU33" s="216"/>
      <c r="RFV33" s="216"/>
      <c r="RFW33" s="216"/>
      <c r="RFX33" s="216"/>
      <c r="RFY33" s="216"/>
      <c r="RFZ33" s="216"/>
      <c r="RGA33" s="216"/>
      <c r="RGB33" s="216"/>
      <c r="RGC33" s="216"/>
      <c r="RGD33" s="216"/>
      <c r="RGE33" s="216"/>
      <c r="RGF33" s="216"/>
      <c r="RGG33" s="216"/>
      <c r="RGH33" s="216"/>
      <c r="RGI33" s="216"/>
      <c r="RGJ33" s="216"/>
      <c r="RGK33" s="216"/>
      <c r="RGL33" s="216"/>
      <c r="RGM33" s="216"/>
      <c r="RGN33" s="216"/>
      <c r="RGO33" s="216"/>
      <c r="RGP33" s="216"/>
      <c r="RGQ33" s="216"/>
      <c r="RGR33" s="216"/>
      <c r="RGS33" s="216"/>
      <c r="RGT33" s="216"/>
      <c r="RGU33" s="216"/>
      <c r="RGV33" s="216"/>
      <c r="RGW33" s="216"/>
      <c r="RGX33" s="216"/>
      <c r="RGY33" s="216"/>
      <c r="RGZ33" s="216"/>
      <c r="RHA33" s="216"/>
      <c r="RHB33" s="216"/>
      <c r="RHC33" s="216"/>
      <c r="RHD33" s="216"/>
      <c r="RHE33" s="216"/>
      <c r="RHF33" s="216"/>
      <c r="RHG33" s="216"/>
      <c r="RHH33" s="216"/>
      <c r="RHI33" s="216"/>
      <c r="RHJ33" s="216"/>
      <c r="RHK33" s="216"/>
      <c r="RHL33" s="216"/>
      <c r="RHM33" s="216"/>
      <c r="RHN33" s="216"/>
      <c r="RHO33" s="216"/>
      <c r="RHP33" s="216"/>
      <c r="RHQ33" s="216"/>
      <c r="RHR33" s="216"/>
      <c r="RHS33" s="216"/>
      <c r="RHT33" s="216"/>
      <c r="RHU33" s="216"/>
      <c r="RHV33" s="216"/>
      <c r="RHW33" s="216"/>
      <c r="RHX33" s="216"/>
      <c r="RHY33" s="216"/>
      <c r="RHZ33" s="216"/>
      <c r="RIA33" s="216"/>
      <c r="RIB33" s="216"/>
      <c r="RIC33" s="216"/>
      <c r="RID33" s="216"/>
      <c r="RIE33" s="216"/>
      <c r="RIF33" s="216"/>
      <c r="RIG33" s="216"/>
      <c r="RIH33" s="216"/>
      <c r="RII33" s="216"/>
      <c r="RIJ33" s="216"/>
      <c r="RIK33" s="216"/>
      <c r="RIL33" s="216"/>
      <c r="RIM33" s="216"/>
      <c r="RIN33" s="216"/>
      <c r="RIO33" s="216"/>
      <c r="RIP33" s="216"/>
      <c r="RIQ33" s="216"/>
      <c r="RIR33" s="216"/>
      <c r="RIS33" s="216"/>
      <c r="RIT33" s="216"/>
      <c r="RIU33" s="216"/>
      <c r="RIV33" s="216"/>
      <c r="RIW33" s="216"/>
      <c r="RIX33" s="216"/>
      <c r="RIY33" s="216"/>
      <c r="RIZ33" s="216"/>
      <c r="RJA33" s="216"/>
      <c r="RJB33" s="216"/>
      <c r="RJC33" s="216"/>
      <c r="RJD33" s="216"/>
      <c r="RJE33" s="216"/>
      <c r="RJF33" s="216"/>
      <c r="RJG33" s="216"/>
      <c r="RJH33" s="216"/>
      <c r="RJI33" s="216"/>
      <c r="RJJ33" s="216"/>
      <c r="RJK33" s="216"/>
      <c r="RJL33" s="216"/>
      <c r="RJM33" s="216"/>
      <c r="RJN33" s="216"/>
      <c r="RJO33" s="216"/>
      <c r="RJP33" s="216"/>
      <c r="RJQ33" s="216"/>
      <c r="RJR33" s="216"/>
      <c r="RJS33" s="216"/>
      <c r="RJT33" s="216"/>
      <c r="RJU33" s="216"/>
      <c r="RJV33" s="216"/>
      <c r="RJW33" s="216"/>
      <c r="RJX33" s="216"/>
      <c r="RJY33" s="216"/>
      <c r="RJZ33" s="216"/>
      <c r="RKA33" s="216"/>
      <c r="RKB33" s="216"/>
      <c r="RKC33" s="216"/>
      <c r="RKD33" s="216"/>
      <c r="RKE33" s="216"/>
      <c r="RKF33" s="216"/>
      <c r="RKG33" s="216"/>
      <c r="RKH33" s="216"/>
      <c r="RKI33" s="216"/>
      <c r="RKJ33" s="216"/>
      <c r="RKK33" s="216"/>
      <c r="RKL33" s="216"/>
      <c r="RKM33" s="216"/>
      <c r="RKN33" s="216"/>
      <c r="RKO33" s="216"/>
      <c r="RKP33" s="216"/>
      <c r="RKQ33" s="216"/>
      <c r="RKR33" s="216"/>
      <c r="RKS33" s="216"/>
      <c r="RKT33" s="216"/>
      <c r="RKU33" s="216"/>
      <c r="RKV33" s="216"/>
      <c r="RKW33" s="216"/>
      <c r="RKX33" s="216"/>
      <c r="RKY33" s="216"/>
      <c r="RKZ33" s="216"/>
      <c r="RLA33" s="216"/>
      <c r="RLB33" s="216"/>
      <c r="RLC33" s="216"/>
      <c r="RLD33" s="216"/>
      <c r="RLE33" s="216"/>
      <c r="RLF33" s="216"/>
      <c r="RLG33" s="216"/>
      <c r="RLH33" s="216"/>
      <c r="RLI33" s="216"/>
      <c r="RLJ33" s="216"/>
      <c r="RLK33" s="216"/>
      <c r="RLL33" s="216"/>
      <c r="RLM33" s="216"/>
      <c r="RLN33" s="216"/>
      <c r="RLO33" s="216"/>
      <c r="RLP33" s="216"/>
      <c r="RLQ33" s="216"/>
      <c r="RLR33" s="216"/>
      <c r="RLS33" s="216"/>
      <c r="RLT33" s="216"/>
      <c r="RLU33" s="216"/>
      <c r="RLV33" s="216"/>
      <c r="RLW33" s="216"/>
      <c r="RLX33" s="216"/>
      <c r="RLY33" s="216"/>
      <c r="RLZ33" s="216"/>
      <c r="RMA33" s="216"/>
      <c r="RMB33" s="216"/>
      <c r="RMC33" s="216"/>
      <c r="RMD33" s="216"/>
      <c r="RME33" s="216"/>
      <c r="RMF33" s="216"/>
      <c r="RMG33" s="216"/>
      <c r="RMH33" s="216"/>
      <c r="RMI33" s="216"/>
      <c r="RMJ33" s="216"/>
      <c r="RMK33" s="216"/>
      <c r="RML33" s="216"/>
      <c r="RMM33" s="216"/>
      <c r="RMN33" s="216"/>
      <c r="RMO33" s="216"/>
      <c r="RMP33" s="216"/>
      <c r="RMQ33" s="216"/>
      <c r="RMR33" s="216"/>
      <c r="RMS33" s="216"/>
      <c r="RMT33" s="216"/>
      <c r="RMU33" s="216"/>
      <c r="RMV33" s="216"/>
      <c r="RMW33" s="216"/>
      <c r="RMX33" s="216"/>
      <c r="RMY33" s="216"/>
      <c r="RMZ33" s="216"/>
      <c r="RNA33" s="216"/>
      <c r="RNB33" s="216"/>
      <c r="RNC33" s="216"/>
      <c r="RND33" s="216"/>
      <c r="RNE33" s="216"/>
      <c r="RNF33" s="216"/>
      <c r="RNG33" s="216"/>
      <c r="RNH33" s="216"/>
      <c r="RNI33" s="216"/>
      <c r="RNJ33" s="216"/>
      <c r="RNK33" s="216"/>
      <c r="RNL33" s="216"/>
      <c r="RNM33" s="216"/>
      <c r="RNN33" s="216"/>
      <c r="RNO33" s="216"/>
      <c r="RNP33" s="216"/>
      <c r="RNQ33" s="216"/>
      <c r="RNR33" s="216"/>
      <c r="RNS33" s="216"/>
      <c r="RNT33" s="216"/>
      <c r="RNU33" s="216"/>
      <c r="RNV33" s="216"/>
      <c r="RNW33" s="216"/>
      <c r="RNX33" s="216"/>
      <c r="RNY33" s="216"/>
      <c r="RNZ33" s="216"/>
      <c r="ROA33" s="216"/>
      <c r="ROB33" s="216"/>
      <c r="ROC33" s="216"/>
      <c r="ROD33" s="216"/>
      <c r="ROE33" s="216"/>
      <c r="ROF33" s="216"/>
      <c r="ROG33" s="216"/>
      <c r="ROH33" s="216"/>
      <c r="ROI33" s="216"/>
      <c r="ROJ33" s="216"/>
      <c r="ROK33" s="216"/>
      <c r="ROL33" s="216"/>
      <c r="ROM33" s="216"/>
      <c r="RON33" s="216"/>
      <c r="ROO33" s="216"/>
      <c r="ROP33" s="216"/>
      <c r="ROQ33" s="216"/>
      <c r="ROR33" s="216"/>
      <c r="ROS33" s="216"/>
      <c r="ROT33" s="216"/>
      <c r="ROU33" s="216"/>
      <c r="ROV33" s="216"/>
      <c r="ROW33" s="216"/>
      <c r="ROX33" s="216"/>
      <c r="ROY33" s="216"/>
      <c r="ROZ33" s="216"/>
      <c r="RPA33" s="216"/>
      <c r="RPB33" s="216"/>
      <c r="RPC33" s="216"/>
      <c r="RPD33" s="216"/>
      <c r="RPE33" s="216"/>
      <c r="RPF33" s="216"/>
      <c r="RPG33" s="216"/>
      <c r="RPH33" s="216"/>
      <c r="RPI33" s="216"/>
      <c r="RPJ33" s="216"/>
      <c r="RPK33" s="216"/>
      <c r="RPL33" s="216"/>
      <c r="RPM33" s="216"/>
      <c r="RPN33" s="216"/>
      <c r="RPO33" s="216"/>
      <c r="RPP33" s="216"/>
      <c r="RPQ33" s="216"/>
      <c r="RPR33" s="216"/>
      <c r="RPS33" s="216"/>
      <c r="RPT33" s="216"/>
      <c r="RPU33" s="216"/>
      <c r="RPV33" s="216"/>
      <c r="RPW33" s="216"/>
      <c r="RPX33" s="216"/>
      <c r="RPY33" s="216"/>
      <c r="RPZ33" s="216"/>
      <c r="RQA33" s="216"/>
      <c r="RQB33" s="216"/>
      <c r="RQC33" s="216"/>
      <c r="RQD33" s="216"/>
      <c r="RQE33" s="216"/>
      <c r="RQF33" s="216"/>
      <c r="RQG33" s="216"/>
      <c r="RQH33" s="216"/>
      <c r="RQI33" s="216"/>
      <c r="RQJ33" s="216"/>
      <c r="RQK33" s="216"/>
      <c r="RQL33" s="216"/>
      <c r="RQM33" s="216"/>
      <c r="RQN33" s="216"/>
      <c r="RQO33" s="216"/>
      <c r="RQP33" s="216"/>
      <c r="RQQ33" s="216"/>
      <c r="RQR33" s="216"/>
      <c r="RQS33" s="216"/>
      <c r="RQT33" s="216"/>
      <c r="RQU33" s="216"/>
      <c r="RQV33" s="216"/>
      <c r="RQW33" s="216"/>
      <c r="RQX33" s="216"/>
      <c r="RQY33" s="216"/>
      <c r="RQZ33" s="216"/>
      <c r="RRA33" s="216"/>
      <c r="RRB33" s="216"/>
      <c r="RRC33" s="216"/>
      <c r="RRD33" s="216"/>
      <c r="RRE33" s="216"/>
      <c r="RRF33" s="216"/>
      <c r="RRG33" s="216"/>
      <c r="RRH33" s="216"/>
      <c r="RRI33" s="216"/>
      <c r="RRJ33" s="216"/>
      <c r="RRK33" s="216"/>
      <c r="RRL33" s="216"/>
      <c r="RRM33" s="216"/>
      <c r="RRN33" s="216"/>
      <c r="RRO33" s="216"/>
      <c r="RRP33" s="216"/>
      <c r="RRQ33" s="216"/>
      <c r="RRR33" s="216"/>
      <c r="RRS33" s="216"/>
      <c r="RRT33" s="216"/>
      <c r="RRU33" s="216"/>
      <c r="RRV33" s="216"/>
      <c r="RRW33" s="216"/>
      <c r="RRX33" s="216"/>
      <c r="RRY33" s="216"/>
      <c r="RRZ33" s="216"/>
      <c r="RSA33" s="216"/>
      <c r="RSB33" s="216"/>
      <c r="RSC33" s="216"/>
      <c r="RSD33" s="216"/>
      <c r="RSE33" s="216"/>
      <c r="RSF33" s="216"/>
      <c r="RSG33" s="216"/>
      <c r="RSH33" s="216"/>
      <c r="RSI33" s="216"/>
      <c r="RSJ33" s="216"/>
      <c r="RSK33" s="216"/>
      <c r="RSL33" s="216"/>
      <c r="RSM33" s="216"/>
      <c r="RSN33" s="216"/>
      <c r="RSO33" s="216"/>
      <c r="RSP33" s="216"/>
      <c r="RSQ33" s="216"/>
      <c r="RSR33" s="216"/>
      <c r="RSS33" s="216"/>
      <c r="RST33" s="216"/>
      <c r="RSU33" s="216"/>
      <c r="RSV33" s="216"/>
      <c r="RSW33" s="216"/>
      <c r="RSX33" s="216"/>
      <c r="RSY33" s="216"/>
      <c r="RSZ33" s="216"/>
      <c r="RTA33" s="216"/>
      <c r="RTB33" s="216"/>
      <c r="RTC33" s="216"/>
      <c r="RTD33" s="216"/>
      <c r="RTE33" s="216"/>
      <c r="RTF33" s="216"/>
      <c r="RTG33" s="216"/>
      <c r="RTH33" s="216"/>
      <c r="RTI33" s="216"/>
      <c r="RTJ33" s="216"/>
      <c r="RTK33" s="216"/>
      <c r="RTL33" s="216"/>
      <c r="RTM33" s="216"/>
      <c r="RTN33" s="216"/>
      <c r="RTO33" s="216"/>
      <c r="RTP33" s="216"/>
      <c r="RTQ33" s="216"/>
      <c r="RTR33" s="216"/>
      <c r="RTS33" s="216"/>
      <c r="RTT33" s="216"/>
      <c r="RTU33" s="216"/>
      <c r="RTV33" s="216"/>
      <c r="RTW33" s="216"/>
      <c r="RTX33" s="216"/>
      <c r="RTY33" s="216"/>
      <c r="RTZ33" s="216"/>
      <c r="RUA33" s="216"/>
      <c r="RUB33" s="216"/>
      <c r="RUC33" s="216"/>
      <c r="RUD33" s="216"/>
      <c r="RUE33" s="216"/>
      <c r="RUF33" s="216"/>
      <c r="RUG33" s="216"/>
      <c r="RUH33" s="216"/>
      <c r="RUI33" s="216"/>
      <c r="RUJ33" s="216"/>
      <c r="RUK33" s="216"/>
      <c r="RUL33" s="216"/>
      <c r="RUM33" s="216"/>
      <c r="RUN33" s="216"/>
      <c r="RUO33" s="216"/>
      <c r="RUP33" s="216"/>
      <c r="RUQ33" s="216"/>
      <c r="RUR33" s="216"/>
      <c r="RUS33" s="216"/>
      <c r="RUT33" s="216"/>
      <c r="RUU33" s="216"/>
      <c r="RUV33" s="216"/>
      <c r="RUW33" s="216"/>
      <c r="RUX33" s="216"/>
      <c r="RUY33" s="216"/>
      <c r="RUZ33" s="216"/>
      <c r="RVA33" s="216"/>
      <c r="RVB33" s="216"/>
      <c r="RVC33" s="216"/>
      <c r="RVD33" s="216"/>
      <c r="RVE33" s="216"/>
      <c r="RVF33" s="216"/>
      <c r="RVG33" s="216"/>
      <c r="RVH33" s="216"/>
      <c r="RVI33" s="216"/>
      <c r="RVJ33" s="216"/>
      <c r="RVK33" s="216"/>
      <c r="RVL33" s="216"/>
      <c r="RVM33" s="216"/>
      <c r="RVN33" s="216"/>
      <c r="RVO33" s="216"/>
      <c r="RVP33" s="216"/>
      <c r="RVQ33" s="216"/>
      <c r="RVR33" s="216"/>
      <c r="RVS33" s="216"/>
      <c r="RVT33" s="216"/>
      <c r="RVU33" s="216"/>
      <c r="RVV33" s="216"/>
      <c r="RVW33" s="216"/>
      <c r="RVX33" s="216"/>
      <c r="RVY33" s="216"/>
      <c r="RVZ33" s="216"/>
      <c r="RWA33" s="216"/>
      <c r="RWB33" s="216"/>
      <c r="RWC33" s="216"/>
      <c r="RWD33" s="216"/>
      <c r="RWE33" s="216"/>
      <c r="RWF33" s="216"/>
      <c r="RWG33" s="216"/>
      <c r="RWH33" s="216"/>
      <c r="RWI33" s="216"/>
      <c r="RWJ33" s="216"/>
      <c r="RWK33" s="216"/>
      <c r="RWL33" s="216"/>
      <c r="RWM33" s="216"/>
      <c r="RWN33" s="216"/>
      <c r="RWO33" s="216"/>
      <c r="RWP33" s="216"/>
      <c r="RWQ33" s="216"/>
      <c r="RWR33" s="216"/>
      <c r="RWS33" s="216"/>
      <c r="RWT33" s="216"/>
      <c r="RWU33" s="216"/>
      <c r="RWV33" s="216"/>
      <c r="RWW33" s="216"/>
      <c r="RWX33" s="216"/>
      <c r="RWY33" s="216"/>
      <c r="RWZ33" s="216"/>
      <c r="RXA33" s="216"/>
      <c r="RXB33" s="216"/>
      <c r="RXC33" s="216"/>
      <c r="RXD33" s="216"/>
      <c r="RXE33" s="216"/>
      <c r="RXF33" s="216"/>
      <c r="RXG33" s="216"/>
      <c r="RXH33" s="216"/>
      <c r="RXI33" s="216"/>
      <c r="RXJ33" s="216"/>
      <c r="RXK33" s="216"/>
      <c r="RXL33" s="216"/>
      <c r="RXM33" s="216"/>
      <c r="RXN33" s="216"/>
      <c r="RXO33" s="216"/>
      <c r="RXP33" s="216"/>
      <c r="RXQ33" s="216"/>
      <c r="RXR33" s="216"/>
      <c r="RXS33" s="216"/>
      <c r="RXT33" s="216"/>
      <c r="RXU33" s="216"/>
      <c r="RXV33" s="216"/>
      <c r="RXW33" s="216"/>
      <c r="RXX33" s="216"/>
      <c r="RXY33" s="216"/>
      <c r="RXZ33" s="216"/>
      <c r="RYA33" s="216"/>
      <c r="RYB33" s="216"/>
      <c r="RYC33" s="216"/>
      <c r="RYD33" s="216"/>
      <c r="RYE33" s="216"/>
      <c r="RYF33" s="216"/>
      <c r="RYG33" s="216"/>
      <c r="RYH33" s="216"/>
      <c r="RYI33" s="216"/>
      <c r="RYJ33" s="216"/>
      <c r="RYK33" s="216"/>
      <c r="RYL33" s="216"/>
      <c r="RYM33" s="216"/>
      <c r="RYN33" s="216"/>
      <c r="RYO33" s="216"/>
      <c r="RYP33" s="216"/>
      <c r="RYQ33" s="216"/>
      <c r="RYR33" s="216"/>
      <c r="RYS33" s="216"/>
      <c r="RYT33" s="216"/>
      <c r="RYU33" s="216"/>
      <c r="RYV33" s="216"/>
      <c r="RYW33" s="216"/>
      <c r="RYX33" s="216"/>
      <c r="RYY33" s="216"/>
      <c r="RYZ33" s="216"/>
      <c r="RZA33" s="216"/>
      <c r="RZB33" s="216"/>
      <c r="RZC33" s="216"/>
      <c r="RZD33" s="216"/>
      <c r="RZE33" s="216"/>
      <c r="RZF33" s="216"/>
      <c r="RZG33" s="216"/>
      <c r="RZH33" s="216"/>
      <c r="RZI33" s="216"/>
      <c r="RZJ33" s="216"/>
      <c r="RZK33" s="216"/>
      <c r="RZL33" s="216"/>
      <c r="RZM33" s="216"/>
      <c r="RZN33" s="216"/>
      <c r="RZO33" s="216"/>
      <c r="RZP33" s="216"/>
      <c r="RZQ33" s="216"/>
      <c r="RZR33" s="216"/>
      <c r="RZS33" s="216"/>
      <c r="RZT33" s="216"/>
      <c r="RZU33" s="216"/>
      <c r="RZV33" s="216"/>
      <c r="RZW33" s="216"/>
      <c r="RZX33" s="216"/>
      <c r="RZY33" s="216"/>
      <c r="RZZ33" s="216"/>
      <c r="SAA33" s="216"/>
      <c r="SAB33" s="216"/>
      <c r="SAC33" s="216"/>
      <c r="SAD33" s="216"/>
      <c r="SAE33" s="216"/>
      <c r="SAF33" s="216"/>
      <c r="SAG33" s="216"/>
      <c r="SAH33" s="216"/>
      <c r="SAI33" s="216"/>
      <c r="SAJ33" s="216"/>
      <c r="SAK33" s="216"/>
      <c r="SAL33" s="216"/>
      <c r="SAM33" s="216"/>
      <c r="SAN33" s="216"/>
      <c r="SAO33" s="216"/>
      <c r="SAP33" s="216"/>
      <c r="SAQ33" s="216"/>
      <c r="SAR33" s="216"/>
      <c r="SAS33" s="216"/>
      <c r="SAT33" s="216"/>
      <c r="SAU33" s="216"/>
      <c r="SAV33" s="216"/>
      <c r="SAW33" s="216"/>
      <c r="SAX33" s="216"/>
      <c r="SAY33" s="216"/>
      <c r="SAZ33" s="216"/>
      <c r="SBA33" s="216"/>
      <c r="SBB33" s="216"/>
      <c r="SBC33" s="216"/>
      <c r="SBD33" s="216"/>
      <c r="SBE33" s="216"/>
      <c r="SBF33" s="216"/>
      <c r="SBG33" s="216"/>
      <c r="SBH33" s="216"/>
      <c r="SBI33" s="216"/>
      <c r="SBJ33" s="216"/>
      <c r="SBK33" s="216"/>
      <c r="SBL33" s="216"/>
      <c r="SBM33" s="216"/>
      <c r="SBN33" s="216"/>
      <c r="SBO33" s="216"/>
      <c r="SBP33" s="216"/>
      <c r="SBQ33" s="216"/>
      <c r="SBR33" s="216"/>
      <c r="SBS33" s="216"/>
      <c r="SBT33" s="216"/>
      <c r="SBU33" s="216"/>
      <c r="SBV33" s="216"/>
      <c r="SBW33" s="216"/>
      <c r="SBX33" s="216"/>
      <c r="SBY33" s="216"/>
      <c r="SBZ33" s="216"/>
      <c r="SCA33" s="216"/>
      <c r="SCB33" s="216"/>
      <c r="SCC33" s="216"/>
      <c r="SCD33" s="216"/>
      <c r="SCE33" s="216"/>
      <c r="SCF33" s="216"/>
      <c r="SCG33" s="216"/>
      <c r="SCH33" s="216"/>
      <c r="SCI33" s="216"/>
      <c r="SCJ33" s="216"/>
      <c r="SCK33" s="216"/>
      <c r="SCL33" s="216"/>
      <c r="SCM33" s="216"/>
      <c r="SCN33" s="216"/>
      <c r="SCO33" s="216"/>
      <c r="SCP33" s="216"/>
      <c r="SCQ33" s="216"/>
      <c r="SCR33" s="216"/>
      <c r="SCS33" s="216"/>
      <c r="SCT33" s="216"/>
      <c r="SCU33" s="216"/>
      <c r="SCV33" s="216"/>
      <c r="SCW33" s="216"/>
      <c r="SCX33" s="216"/>
      <c r="SCY33" s="216"/>
      <c r="SCZ33" s="216"/>
      <c r="SDA33" s="216"/>
      <c r="SDB33" s="216"/>
      <c r="SDC33" s="216"/>
      <c r="SDD33" s="216"/>
      <c r="SDE33" s="216"/>
      <c r="SDF33" s="216"/>
      <c r="SDG33" s="216"/>
      <c r="SDH33" s="216"/>
      <c r="SDI33" s="216"/>
      <c r="SDJ33" s="216"/>
      <c r="SDK33" s="216"/>
      <c r="SDL33" s="216"/>
      <c r="SDM33" s="216"/>
      <c r="SDN33" s="216"/>
      <c r="SDO33" s="216"/>
      <c r="SDP33" s="216"/>
      <c r="SDQ33" s="216"/>
      <c r="SDR33" s="216"/>
      <c r="SDS33" s="216"/>
      <c r="SDT33" s="216"/>
      <c r="SDU33" s="216"/>
      <c r="SDV33" s="216"/>
      <c r="SDW33" s="216"/>
      <c r="SDX33" s="216"/>
      <c r="SDY33" s="216"/>
      <c r="SDZ33" s="216"/>
      <c r="SEA33" s="216"/>
      <c r="SEB33" s="216"/>
      <c r="SEC33" s="216"/>
      <c r="SED33" s="216"/>
      <c r="SEE33" s="216"/>
      <c r="SEF33" s="216"/>
      <c r="SEG33" s="216"/>
      <c r="SEH33" s="216"/>
      <c r="SEI33" s="216"/>
      <c r="SEJ33" s="216"/>
      <c r="SEK33" s="216"/>
      <c r="SEL33" s="216"/>
      <c r="SEM33" s="216"/>
      <c r="SEN33" s="216"/>
      <c r="SEO33" s="216"/>
      <c r="SEP33" s="216"/>
      <c r="SEQ33" s="216"/>
      <c r="SER33" s="216"/>
      <c r="SES33" s="216"/>
      <c r="SET33" s="216"/>
      <c r="SEU33" s="216"/>
      <c r="SEV33" s="216"/>
      <c r="SEW33" s="216"/>
      <c r="SEX33" s="216"/>
      <c r="SEY33" s="216"/>
      <c r="SEZ33" s="216"/>
      <c r="SFA33" s="216"/>
      <c r="SFB33" s="216"/>
      <c r="SFC33" s="216"/>
      <c r="SFD33" s="216"/>
      <c r="SFE33" s="216"/>
      <c r="SFF33" s="216"/>
      <c r="SFG33" s="216"/>
      <c r="SFH33" s="216"/>
      <c r="SFI33" s="216"/>
      <c r="SFJ33" s="216"/>
      <c r="SFK33" s="216"/>
      <c r="SFL33" s="216"/>
      <c r="SFM33" s="216"/>
      <c r="SFN33" s="216"/>
      <c r="SFO33" s="216"/>
      <c r="SFP33" s="216"/>
      <c r="SFQ33" s="216"/>
      <c r="SFR33" s="216"/>
      <c r="SFS33" s="216"/>
      <c r="SFT33" s="216"/>
      <c r="SFU33" s="216"/>
      <c r="SFV33" s="216"/>
      <c r="SFW33" s="216"/>
      <c r="SFX33" s="216"/>
      <c r="SFY33" s="216"/>
      <c r="SFZ33" s="216"/>
      <c r="SGA33" s="216"/>
      <c r="SGB33" s="216"/>
      <c r="SGC33" s="216"/>
      <c r="SGD33" s="216"/>
      <c r="SGE33" s="216"/>
      <c r="SGF33" s="216"/>
      <c r="SGG33" s="216"/>
      <c r="SGH33" s="216"/>
      <c r="SGI33" s="216"/>
      <c r="SGJ33" s="216"/>
      <c r="SGK33" s="216"/>
      <c r="SGL33" s="216"/>
      <c r="SGM33" s="216"/>
      <c r="SGN33" s="216"/>
      <c r="SGO33" s="216"/>
      <c r="SGP33" s="216"/>
      <c r="SGQ33" s="216"/>
      <c r="SGR33" s="216"/>
      <c r="SGS33" s="216"/>
      <c r="SGT33" s="216"/>
      <c r="SGU33" s="216"/>
      <c r="SGV33" s="216"/>
      <c r="SGW33" s="216"/>
      <c r="SGX33" s="216"/>
      <c r="SGY33" s="216"/>
      <c r="SGZ33" s="216"/>
      <c r="SHA33" s="216"/>
      <c r="SHB33" s="216"/>
      <c r="SHC33" s="216"/>
      <c r="SHD33" s="216"/>
      <c r="SHE33" s="216"/>
      <c r="SHF33" s="216"/>
      <c r="SHG33" s="216"/>
      <c r="SHH33" s="216"/>
      <c r="SHI33" s="216"/>
      <c r="SHJ33" s="216"/>
      <c r="SHK33" s="216"/>
      <c r="SHL33" s="216"/>
      <c r="SHM33" s="216"/>
      <c r="SHN33" s="216"/>
      <c r="SHO33" s="216"/>
      <c r="SHP33" s="216"/>
      <c r="SHQ33" s="216"/>
      <c r="SHR33" s="216"/>
      <c r="SHS33" s="216"/>
      <c r="SHT33" s="216"/>
      <c r="SHU33" s="216"/>
      <c r="SHV33" s="216"/>
      <c r="SHW33" s="216"/>
      <c r="SHX33" s="216"/>
      <c r="SHY33" s="216"/>
      <c r="SHZ33" s="216"/>
      <c r="SIA33" s="216"/>
      <c r="SIB33" s="216"/>
      <c r="SIC33" s="216"/>
      <c r="SID33" s="216"/>
      <c r="SIE33" s="216"/>
      <c r="SIF33" s="216"/>
      <c r="SIG33" s="216"/>
      <c r="SIH33" s="216"/>
      <c r="SII33" s="216"/>
      <c r="SIJ33" s="216"/>
      <c r="SIK33" s="216"/>
      <c r="SIL33" s="216"/>
      <c r="SIM33" s="216"/>
      <c r="SIN33" s="216"/>
      <c r="SIO33" s="216"/>
      <c r="SIP33" s="216"/>
      <c r="SIQ33" s="216"/>
      <c r="SIR33" s="216"/>
      <c r="SIS33" s="216"/>
      <c r="SIT33" s="216"/>
      <c r="SIU33" s="216"/>
      <c r="SIV33" s="216"/>
      <c r="SIW33" s="216"/>
      <c r="SIX33" s="216"/>
      <c r="SIY33" s="216"/>
      <c r="SIZ33" s="216"/>
      <c r="SJA33" s="216"/>
      <c r="SJB33" s="216"/>
      <c r="SJC33" s="216"/>
      <c r="SJD33" s="216"/>
      <c r="SJE33" s="216"/>
      <c r="SJF33" s="216"/>
      <c r="SJG33" s="216"/>
      <c r="SJH33" s="216"/>
      <c r="SJI33" s="216"/>
      <c r="SJJ33" s="216"/>
      <c r="SJK33" s="216"/>
      <c r="SJL33" s="216"/>
      <c r="SJM33" s="216"/>
      <c r="SJN33" s="216"/>
      <c r="SJO33" s="216"/>
      <c r="SJP33" s="216"/>
      <c r="SJQ33" s="216"/>
      <c r="SJR33" s="216"/>
      <c r="SJS33" s="216"/>
      <c r="SJT33" s="216"/>
      <c r="SJU33" s="216"/>
      <c r="SJV33" s="216"/>
      <c r="SJW33" s="216"/>
      <c r="SJX33" s="216"/>
      <c r="SJY33" s="216"/>
      <c r="SJZ33" s="216"/>
      <c r="SKA33" s="216"/>
      <c r="SKB33" s="216"/>
      <c r="SKC33" s="216"/>
      <c r="SKD33" s="216"/>
      <c r="SKE33" s="216"/>
      <c r="SKF33" s="216"/>
      <c r="SKG33" s="216"/>
      <c r="SKH33" s="216"/>
      <c r="SKI33" s="216"/>
      <c r="SKJ33" s="216"/>
      <c r="SKK33" s="216"/>
      <c r="SKL33" s="216"/>
      <c r="SKM33" s="216"/>
      <c r="SKN33" s="216"/>
      <c r="SKO33" s="216"/>
      <c r="SKP33" s="216"/>
      <c r="SKQ33" s="216"/>
      <c r="SKR33" s="216"/>
      <c r="SKS33" s="216"/>
      <c r="SKT33" s="216"/>
      <c r="SKU33" s="216"/>
      <c r="SKV33" s="216"/>
      <c r="SKW33" s="216"/>
      <c r="SKX33" s="216"/>
      <c r="SKY33" s="216"/>
      <c r="SKZ33" s="216"/>
      <c r="SLA33" s="216"/>
      <c r="SLB33" s="216"/>
      <c r="SLC33" s="216"/>
      <c r="SLD33" s="216"/>
      <c r="SLE33" s="216"/>
      <c r="SLF33" s="216"/>
      <c r="SLG33" s="216"/>
      <c r="SLH33" s="216"/>
      <c r="SLI33" s="216"/>
      <c r="SLJ33" s="216"/>
      <c r="SLK33" s="216"/>
      <c r="SLL33" s="216"/>
      <c r="SLM33" s="216"/>
      <c r="SLN33" s="216"/>
      <c r="SLO33" s="216"/>
      <c r="SLP33" s="216"/>
      <c r="SLQ33" s="216"/>
      <c r="SLR33" s="216"/>
      <c r="SLS33" s="216"/>
      <c r="SLT33" s="216"/>
      <c r="SLU33" s="216"/>
      <c r="SLV33" s="216"/>
      <c r="SLW33" s="216"/>
      <c r="SLX33" s="216"/>
      <c r="SLY33" s="216"/>
      <c r="SLZ33" s="216"/>
      <c r="SMA33" s="216"/>
      <c r="SMB33" s="216"/>
      <c r="SMC33" s="216"/>
      <c r="SMD33" s="216"/>
      <c r="SME33" s="216"/>
      <c r="SMF33" s="216"/>
      <c r="SMG33" s="216"/>
      <c r="SMH33" s="216"/>
      <c r="SMI33" s="216"/>
      <c r="SMJ33" s="216"/>
      <c r="SMK33" s="216"/>
      <c r="SML33" s="216"/>
      <c r="SMM33" s="216"/>
      <c r="SMN33" s="216"/>
      <c r="SMO33" s="216"/>
      <c r="SMP33" s="216"/>
      <c r="SMQ33" s="216"/>
      <c r="SMR33" s="216"/>
      <c r="SMS33" s="216"/>
      <c r="SMT33" s="216"/>
      <c r="SMU33" s="216"/>
      <c r="SMV33" s="216"/>
      <c r="SMW33" s="216"/>
      <c r="SMX33" s="216"/>
      <c r="SMY33" s="216"/>
      <c r="SMZ33" s="216"/>
      <c r="SNA33" s="216"/>
      <c r="SNB33" s="216"/>
      <c r="SNC33" s="216"/>
      <c r="SND33" s="216"/>
      <c r="SNE33" s="216"/>
      <c r="SNF33" s="216"/>
      <c r="SNG33" s="216"/>
      <c r="SNH33" s="216"/>
      <c r="SNI33" s="216"/>
      <c r="SNJ33" s="216"/>
      <c r="SNK33" s="216"/>
      <c r="SNL33" s="216"/>
      <c r="SNM33" s="216"/>
      <c r="SNN33" s="216"/>
      <c r="SNO33" s="216"/>
      <c r="SNP33" s="216"/>
      <c r="SNQ33" s="216"/>
      <c r="SNR33" s="216"/>
      <c r="SNS33" s="216"/>
      <c r="SNT33" s="216"/>
      <c r="SNU33" s="216"/>
      <c r="SNV33" s="216"/>
      <c r="SNW33" s="216"/>
      <c r="SNX33" s="216"/>
      <c r="SNY33" s="216"/>
      <c r="SNZ33" s="216"/>
      <c r="SOA33" s="216"/>
      <c r="SOB33" s="216"/>
      <c r="SOC33" s="216"/>
      <c r="SOD33" s="216"/>
      <c r="SOE33" s="216"/>
      <c r="SOF33" s="216"/>
      <c r="SOG33" s="216"/>
      <c r="SOH33" s="216"/>
      <c r="SOI33" s="216"/>
      <c r="SOJ33" s="216"/>
      <c r="SOK33" s="216"/>
      <c r="SOL33" s="216"/>
      <c r="SOM33" s="216"/>
      <c r="SON33" s="216"/>
      <c r="SOO33" s="216"/>
      <c r="SOP33" s="216"/>
      <c r="SOQ33" s="216"/>
      <c r="SOR33" s="216"/>
      <c r="SOS33" s="216"/>
      <c r="SOT33" s="216"/>
      <c r="SOU33" s="216"/>
      <c r="SOV33" s="216"/>
      <c r="SOW33" s="216"/>
      <c r="SOX33" s="216"/>
      <c r="SOY33" s="216"/>
      <c r="SOZ33" s="216"/>
      <c r="SPA33" s="216"/>
      <c r="SPB33" s="216"/>
      <c r="SPC33" s="216"/>
      <c r="SPD33" s="216"/>
      <c r="SPE33" s="216"/>
      <c r="SPF33" s="216"/>
      <c r="SPG33" s="216"/>
      <c r="SPH33" s="216"/>
      <c r="SPI33" s="216"/>
      <c r="SPJ33" s="216"/>
      <c r="SPK33" s="216"/>
      <c r="SPL33" s="216"/>
      <c r="SPM33" s="216"/>
      <c r="SPN33" s="216"/>
      <c r="SPO33" s="216"/>
      <c r="SPP33" s="216"/>
      <c r="SPQ33" s="216"/>
      <c r="SPR33" s="216"/>
      <c r="SPS33" s="216"/>
      <c r="SPT33" s="216"/>
      <c r="SPU33" s="216"/>
      <c r="SPV33" s="216"/>
      <c r="SPW33" s="216"/>
      <c r="SPX33" s="216"/>
      <c r="SPY33" s="216"/>
      <c r="SPZ33" s="216"/>
      <c r="SQA33" s="216"/>
      <c r="SQB33" s="216"/>
      <c r="SQC33" s="216"/>
      <c r="SQD33" s="216"/>
      <c r="SQE33" s="216"/>
      <c r="SQF33" s="216"/>
      <c r="SQG33" s="216"/>
      <c r="SQH33" s="216"/>
      <c r="SQI33" s="216"/>
      <c r="SQJ33" s="216"/>
      <c r="SQK33" s="216"/>
      <c r="SQL33" s="216"/>
      <c r="SQM33" s="216"/>
      <c r="SQN33" s="216"/>
      <c r="SQO33" s="216"/>
      <c r="SQP33" s="216"/>
      <c r="SQQ33" s="216"/>
      <c r="SQR33" s="216"/>
      <c r="SQS33" s="216"/>
      <c r="SQT33" s="216"/>
      <c r="SQU33" s="216"/>
      <c r="SQV33" s="216"/>
      <c r="SQW33" s="216"/>
      <c r="SQX33" s="216"/>
      <c r="SQY33" s="216"/>
      <c r="SQZ33" s="216"/>
      <c r="SRA33" s="216"/>
      <c r="SRB33" s="216"/>
      <c r="SRC33" s="216"/>
      <c r="SRD33" s="216"/>
      <c r="SRE33" s="216"/>
      <c r="SRF33" s="216"/>
      <c r="SRG33" s="216"/>
      <c r="SRH33" s="216"/>
      <c r="SRI33" s="216"/>
      <c r="SRJ33" s="216"/>
      <c r="SRK33" s="216"/>
      <c r="SRL33" s="216"/>
      <c r="SRM33" s="216"/>
      <c r="SRN33" s="216"/>
      <c r="SRO33" s="216"/>
      <c r="SRP33" s="216"/>
      <c r="SRQ33" s="216"/>
      <c r="SRR33" s="216"/>
      <c r="SRS33" s="216"/>
      <c r="SRT33" s="216"/>
      <c r="SRU33" s="216"/>
      <c r="SRV33" s="216"/>
      <c r="SRW33" s="216"/>
      <c r="SRX33" s="216"/>
      <c r="SRY33" s="216"/>
      <c r="SRZ33" s="216"/>
      <c r="SSA33" s="216"/>
      <c r="SSB33" s="216"/>
      <c r="SSC33" s="216"/>
      <c r="SSD33" s="216"/>
      <c r="SSE33" s="216"/>
      <c r="SSF33" s="216"/>
      <c r="SSG33" s="216"/>
      <c r="SSH33" s="216"/>
      <c r="SSI33" s="216"/>
      <c r="SSJ33" s="216"/>
      <c r="SSK33" s="216"/>
      <c r="SSL33" s="216"/>
      <c r="SSM33" s="216"/>
      <c r="SSN33" s="216"/>
      <c r="SSO33" s="216"/>
      <c r="SSP33" s="216"/>
      <c r="SSQ33" s="216"/>
      <c r="SSR33" s="216"/>
      <c r="SSS33" s="216"/>
      <c r="SST33" s="216"/>
      <c r="SSU33" s="216"/>
      <c r="SSV33" s="216"/>
      <c r="SSW33" s="216"/>
      <c r="SSX33" s="216"/>
      <c r="SSY33" s="216"/>
      <c r="SSZ33" s="216"/>
      <c r="STA33" s="216"/>
      <c r="STB33" s="216"/>
      <c r="STC33" s="216"/>
      <c r="STD33" s="216"/>
      <c r="STE33" s="216"/>
      <c r="STF33" s="216"/>
      <c r="STG33" s="216"/>
      <c r="STH33" s="216"/>
      <c r="STI33" s="216"/>
      <c r="STJ33" s="216"/>
      <c r="STK33" s="216"/>
      <c r="STL33" s="216"/>
      <c r="STM33" s="216"/>
      <c r="STN33" s="216"/>
      <c r="STO33" s="216"/>
      <c r="STP33" s="216"/>
      <c r="STQ33" s="216"/>
      <c r="STR33" s="216"/>
      <c r="STS33" s="216"/>
      <c r="STT33" s="216"/>
      <c r="STU33" s="216"/>
      <c r="STV33" s="216"/>
      <c r="STW33" s="216"/>
      <c r="STX33" s="216"/>
      <c r="STY33" s="216"/>
      <c r="STZ33" s="216"/>
      <c r="SUA33" s="216"/>
      <c r="SUB33" s="216"/>
      <c r="SUC33" s="216"/>
      <c r="SUD33" s="216"/>
      <c r="SUE33" s="216"/>
      <c r="SUF33" s="216"/>
      <c r="SUG33" s="216"/>
      <c r="SUH33" s="216"/>
      <c r="SUI33" s="216"/>
      <c r="SUJ33" s="216"/>
      <c r="SUK33" s="216"/>
      <c r="SUL33" s="216"/>
      <c r="SUM33" s="216"/>
      <c r="SUN33" s="216"/>
      <c r="SUO33" s="216"/>
      <c r="SUP33" s="216"/>
      <c r="SUQ33" s="216"/>
      <c r="SUR33" s="216"/>
      <c r="SUS33" s="216"/>
      <c r="SUT33" s="216"/>
      <c r="SUU33" s="216"/>
      <c r="SUV33" s="216"/>
      <c r="SUW33" s="216"/>
      <c r="SUX33" s="216"/>
      <c r="SUY33" s="216"/>
      <c r="SUZ33" s="216"/>
      <c r="SVA33" s="216"/>
      <c r="SVB33" s="216"/>
      <c r="SVC33" s="216"/>
      <c r="SVD33" s="216"/>
      <c r="SVE33" s="216"/>
      <c r="SVF33" s="216"/>
      <c r="SVG33" s="216"/>
      <c r="SVH33" s="216"/>
      <c r="SVI33" s="216"/>
      <c r="SVJ33" s="216"/>
      <c r="SVK33" s="216"/>
      <c r="SVL33" s="216"/>
      <c r="SVM33" s="216"/>
      <c r="SVN33" s="216"/>
      <c r="SVO33" s="216"/>
      <c r="SVP33" s="216"/>
      <c r="SVQ33" s="216"/>
      <c r="SVR33" s="216"/>
      <c r="SVS33" s="216"/>
      <c r="SVT33" s="216"/>
      <c r="SVU33" s="216"/>
      <c r="SVV33" s="216"/>
      <c r="SVW33" s="216"/>
      <c r="SVX33" s="216"/>
      <c r="SVY33" s="216"/>
      <c r="SVZ33" s="216"/>
      <c r="SWA33" s="216"/>
      <c r="SWB33" s="216"/>
      <c r="SWC33" s="216"/>
      <c r="SWD33" s="216"/>
      <c r="SWE33" s="216"/>
      <c r="SWF33" s="216"/>
      <c r="SWG33" s="216"/>
      <c r="SWH33" s="216"/>
      <c r="SWI33" s="216"/>
      <c r="SWJ33" s="216"/>
      <c r="SWK33" s="216"/>
      <c r="SWL33" s="216"/>
      <c r="SWM33" s="216"/>
      <c r="SWN33" s="216"/>
      <c r="SWO33" s="216"/>
      <c r="SWP33" s="216"/>
      <c r="SWQ33" s="216"/>
      <c r="SWR33" s="216"/>
      <c r="SWS33" s="216"/>
      <c r="SWT33" s="216"/>
      <c r="SWU33" s="216"/>
      <c r="SWV33" s="216"/>
      <c r="SWW33" s="216"/>
      <c r="SWX33" s="216"/>
      <c r="SWY33" s="216"/>
      <c r="SWZ33" s="216"/>
      <c r="SXA33" s="216"/>
      <c r="SXB33" s="216"/>
      <c r="SXC33" s="216"/>
      <c r="SXD33" s="216"/>
      <c r="SXE33" s="216"/>
      <c r="SXF33" s="216"/>
      <c r="SXG33" s="216"/>
      <c r="SXH33" s="216"/>
      <c r="SXI33" s="216"/>
      <c r="SXJ33" s="216"/>
      <c r="SXK33" s="216"/>
      <c r="SXL33" s="216"/>
      <c r="SXM33" s="216"/>
      <c r="SXN33" s="216"/>
      <c r="SXO33" s="216"/>
      <c r="SXP33" s="216"/>
      <c r="SXQ33" s="216"/>
      <c r="SXR33" s="216"/>
      <c r="SXS33" s="216"/>
      <c r="SXT33" s="216"/>
      <c r="SXU33" s="216"/>
      <c r="SXV33" s="216"/>
      <c r="SXW33" s="216"/>
      <c r="SXX33" s="216"/>
      <c r="SXY33" s="216"/>
      <c r="SXZ33" s="216"/>
      <c r="SYA33" s="216"/>
      <c r="SYB33" s="216"/>
      <c r="SYC33" s="216"/>
      <c r="SYD33" s="216"/>
      <c r="SYE33" s="216"/>
      <c r="SYF33" s="216"/>
      <c r="SYG33" s="216"/>
      <c r="SYH33" s="216"/>
      <c r="SYI33" s="216"/>
      <c r="SYJ33" s="216"/>
      <c r="SYK33" s="216"/>
      <c r="SYL33" s="216"/>
      <c r="SYM33" s="216"/>
      <c r="SYN33" s="216"/>
      <c r="SYO33" s="216"/>
      <c r="SYP33" s="216"/>
      <c r="SYQ33" s="216"/>
      <c r="SYR33" s="216"/>
      <c r="SYS33" s="216"/>
      <c r="SYT33" s="216"/>
      <c r="SYU33" s="216"/>
      <c r="SYV33" s="216"/>
      <c r="SYW33" s="216"/>
      <c r="SYX33" s="216"/>
      <c r="SYY33" s="216"/>
      <c r="SYZ33" s="216"/>
      <c r="SZA33" s="216"/>
      <c r="SZB33" s="216"/>
      <c r="SZC33" s="216"/>
      <c r="SZD33" s="216"/>
      <c r="SZE33" s="216"/>
      <c r="SZF33" s="216"/>
      <c r="SZG33" s="216"/>
      <c r="SZH33" s="216"/>
      <c r="SZI33" s="216"/>
      <c r="SZJ33" s="216"/>
      <c r="SZK33" s="216"/>
      <c r="SZL33" s="216"/>
      <c r="SZM33" s="216"/>
      <c r="SZN33" s="216"/>
      <c r="SZO33" s="216"/>
      <c r="SZP33" s="216"/>
      <c r="SZQ33" s="216"/>
      <c r="SZR33" s="216"/>
      <c r="SZS33" s="216"/>
      <c r="SZT33" s="216"/>
      <c r="SZU33" s="216"/>
      <c r="SZV33" s="216"/>
      <c r="SZW33" s="216"/>
      <c r="SZX33" s="216"/>
      <c r="SZY33" s="216"/>
      <c r="SZZ33" s="216"/>
      <c r="TAA33" s="216"/>
      <c r="TAB33" s="216"/>
      <c r="TAC33" s="216"/>
      <c r="TAD33" s="216"/>
      <c r="TAE33" s="216"/>
      <c r="TAF33" s="216"/>
      <c r="TAG33" s="216"/>
      <c r="TAH33" s="216"/>
      <c r="TAI33" s="216"/>
      <c r="TAJ33" s="216"/>
      <c r="TAK33" s="216"/>
      <c r="TAL33" s="216"/>
      <c r="TAM33" s="216"/>
      <c r="TAN33" s="216"/>
      <c r="TAO33" s="216"/>
      <c r="TAP33" s="216"/>
      <c r="TAQ33" s="216"/>
      <c r="TAR33" s="216"/>
      <c r="TAS33" s="216"/>
      <c r="TAT33" s="216"/>
      <c r="TAU33" s="216"/>
      <c r="TAV33" s="216"/>
      <c r="TAW33" s="216"/>
      <c r="TAX33" s="216"/>
      <c r="TAY33" s="216"/>
      <c r="TAZ33" s="216"/>
      <c r="TBA33" s="216"/>
      <c r="TBB33" s="216"/>
      <c r="TBC33" s="216"/>
      <c r="TBD33" s="216"/>
      <c r="TBE33" s="216"/>
      <c r="TBF33" s="216"/>
      <c r="TBG33" s="216"/>
      <c r="TBH33" s="216"/>
      <c r="TBI33" s="216"/>
      <c r="TBJ33" s="216"/>
      <c r="TBK33" s="216"/>
      <c r="TBL33" s="216"/>
      <c r="TBM33" s="216"/>
      <c r="TBN33" s="216"/>
      <c r="TBO33" s="216"/>
      <c r="TBP33" s="216"/>
      <c r="TBQ33" s="216"/>
      <c r="TBR33" s="216"/>
      <c r="TBS33" s="216"/>
      <c r="TBT33" s="216"/>
      <c r="TBU33" s="216"/>
      <c r="TBV33" s="216"/>
      <c r="TBW33" s="216"/>
      <c r="TBX33" s="216"/>
      <c r="TBY33" s="216"/>
      <c r="TBZ33" s="216"/>
      <c r="TCA33" s="216"/>
      <c r="TCB33" s="216"/>
      <c r="TCC33" s="216"/>
      <c r="TCD33" s="216"/>
      <c r="TCE33" s="216"/>
      <c r="TCF33" s="216"/>
      <c r="TCG33" s="216"/>
      <c r="TCH33" s="216"/>
      <c r="TCI33" s="216"/>
      <c r="TCJ33" s="216"/>
      <c r="TCK33" s="216"/>
      <c r="TCL33" s="216"/>
      <c r="TCM33" s="216"/>
      <c r="TCN33" s="216"/>
      <c r="TCO33" s="216"/>
      <c r="TCP33" s="216"/>
      <c r="TCQ33" s="216"/>
      <c r="TCR33" s="216"/>
      <c r="TCS33" s="216"/>
      <c r="TCT33" s="216"/>
      <c r="TCU33" s="216"/>
      <c r="TCV33" s="216"/>
      <c r="TCW33" s="216"/>
      <c r="TCX33" s="216"/>
      <c r="TCY33" s="216"/>
      <c r="TCZ33" s="216"/>
      <c r="TDA33" s="216"/>
      <c r="TDB33" s="216"/>
      <c r="TDC33" s="216"/>
      <c r="TDD33" s="216"/>
      <c r="TDE33" s="216"/>
      <c r="TDF33" s="216"/>
      <c r="TDG33" s="216"/>
      <c r="TDH33" s="216"/>
      <c r="TDI33" s="216"/>
      <c r="TDJ33" s="216"/>
      <c r="TDK33" s="216"/>
      <c r="TDL33" s="216"/>
      <c r="TDM33" s="216"/>
      <c r="TDN33" s="216"/>
      <c r="TDO33" s="216"/>
      <c r="TDP33" s="216"/>
      <c r="TDQ33" s="216"/>
      <c r="TDR33" s="216"/>
      <c r="TDS33" s="216"/>
      <c r="TDT33" s="216"/>
      <c r="TDU33" s="216"/>
      <c r="TDV33" s="216"/>
      <c r="TDW33" s="216"/>
      <c r="TDX33" s="216"/>
      <c r="TDY33" s="216"/>
      <c r="TDZ33" s="216"/>
      <c r="TEA33" s="216"/>
      <c r="TEB33" s="216"/>
      <c r="TEC33" s="216"/>
      <c r="TED33" s="216"/>
      <c r="TEE33" s="216"/>
      <c r="TEF33" s="216"/>
      <c r="TEG33" s="216"/>
      <c r="TEH33" s="216"/>
      <c r="TEI33" s="216"/>
      <c r="TEJ33" s="216"/>
      <c r="TEK33" s="216"/>
      <c r="TEL33" s="216"/>
      <c r="TEM33" s="216"/>
      <c r="TEN33" s="216"/>
      <c r="TEO33" s="216"/>
      <c r="TEP33" s="216"/>
      <c r="TEQ33" s="216"/>
      <c r="TER33" s="216"/>
      <c r="TES33" s="216"/>
      <c r="TET33" s="216"/>
      <c r="TEU33" s="216"/>
      <c r="TEV33" s="216"/>
      <c r="TEW33" s="216"/>
      <c r="TEX33" s="216"/>
      <c r="TEY33" s="216"/>
      <c r="TEZ33" s="216"/>
      <c r="TFA33" s="216"/>
      <c r="TFB33" s="216"/>
      <c r="TFC33" s="216"/>
      <c r="TFD33" s="216"/>
      <c r="TFE33" s="216"/>
      <c r="TFF33" s="216"/>
      <c r="TFG33" s="216"/>
      <c r="TFH33" s="216"/>
      <c r="TFI33" s="216"/>
      <c r="TFJ33" s="216"/>
      <c r="TFK33" s="216"/>
      <c r="TFL33" s="216"/>
      <c r="TFM33" s="216"/>
      <c r="TFN33" s="216"/>
      <c r="TFO33" s="216"/>
      <c r="TFP33" s="216"/>
      <c r="TFQ33" s="216"/>
      <c r="TFR33" s="216"/>
      <c r="TFS33" s="216"/>
      <c r="TFT33" s="216"/>
      <c r="TFU33" s="216"/>
      <c r="TFV33" s="216"/>
      <c r="TFW33" s="216"/>
      <c r="TFX33" s="216"/>
      <c r="TFY33" s="216"/>
      <c r="TFZ33" s="216"/>
      <c r="TGA33" s="216"/>
      <c r="TGB33" s="216"/>
      <c r="TGC33" s="216"/>
      <c r="TGD33" s="216"/>
      <c r="TGE33" s="216"/>
      <c r="TGF33" s="216"/>
      <c r="TGG33" s="216"/>
      <c r="TGH33" s="216"/>
      <c r="TGI33" s="216"/>
      <c r="TGJ33" s="216"/>
      <c r="TGK33" s="216"/>
      <c r="TGL33" s="216"/>
      <c r="TGM33" s="216"/>
      <c r="TGN33" s="216"/>
      <c r="TGO33" s="216"/>
      <c r="TGP33" s="216"/>
      <c r="TGQ33" s="216"/>
      <c r="TGR33" s="216"/>
      <c r="TGS33" s="216"/>
      <c r="TGT33" s="216"/>
      <c r="TGU33" s="216"/>
      <c r="TGV33" s="216"/>
      <c r="TGW33" s="216"/>
      <c r="TGX33" s="216"/>
      <c r="TGY33" s="216"/>
      <c r="TGZ33" s="216"/>
      <c r="THA33" s="216"/>
      <c r="THB33" s="216"/>
      <c r="THC33" s="216"/>
      <c r="THD33" s="216"/>
      <c r="THE33" s="216"/>
      <c r="THF33" s="216"/>
      <c r="THG33" s="216"/>
      <c r="THH33" s="216"/>
      <c r="THI33" s="216"/>
      <c r="THJ33" s="216"/>
      <c r="THK33" s="216"/>
      <c r="THL33" s="216"/>
      <c r="THM33" s="216"/>
      <c r="THN33" s="216"/>
      <c r="THO33" s="216"/>
      <c r="THP33" s="216"/>
      <c r="THQ33" s="216"/>
      <c r="THR33" s="216"/>
      <c r="THS33" s="216"/>
      <c r="THT33" s="216"/>
      <c r="THU33" s="216"/>
      <c r="THV33" s="216"/>
      <c r="THW33" s="216"/>
      <c r="THX33" s="216"/>
      <c r="THY33" s="216"/>
      <c r="THZ33" s="216"/>
      <c r="TIA33" s="216"/>
      <c r="TIB33" s="216"/>
      <c r="TIC33" s="216"/>
      <c r="TID33" s="216"/>
      <c r="TIE33" s="216"/>
      <c r="TIF33" s="216"/>
      <c r="TIG33" s="216"/>
      <c r="TIH33" s="216"/>
      <c r="TII33" s="216"/>
      <c r="TIJ33" s="216"/>
      <c r="TIK33" s="216"/>
      <c r="TIL33" s="216"/>
      <c r="TIM33" s="216"/>
      <c r="TIN33" s="216"/>
      <c r="TIO33" s="216"/>
      <c r="TIP33" s="216"/>
      <c r="TIQ33" s="216"/>
      <c r="TIR33" s="216"/>
      <c r="TIS33" s="216"/>
      <c r="TIT33" s="216"/>
      <c r="TIU33" s="216"/>
      <c r="TIV33" s="216"/>
      <c r="TIW33" s="216"/>
      <c r="TIX33" s="216"/>
      <c r="TIY33" s="216"/>
      <c r="TIZ33" s="216"/>
      <c r="TJA33" s="216"/>
      <c r="TJB33" s="216"/>
      <c r="TJC33" s="216"/>
      <c r="TJD33" s="216"/>
      <c r="TJE33" s="216"/>
      <c r="TJF33" s="216"/>
      <c r="TJG33" s="216"/>
      <c r="TJH33" s="216"/>
      <c r="TJI33" s="216"/>
      <c r="TJJ33" s="216"/>
      <c r="TJK33" s="216"/>
      <c r="TJL33" s="216"/>
      <c r="TJM33" s="216"/>
      <c r="TJN33" s="216"/>
      <c r="TJO33" s="216"/>
      <c r="TJP33" s="216"/>
      <c r="TJQ33" s="216"/>
      <c r="TJR33" s="216"/>
      <c r="TJS33" s="216"/>
      <c r="TJT33" s="216"/>
      <c r="TJU33" s="216"/>
      <c r="TJV33" s="216"/>
      <c r="TJW33" s="216"/>
      <c r="TJX33" s="216"/>
      <c r="TJY33" s="216"/>
      <c r="TJZ33" s="216"/>
      <c r="TKA33" s="216"/>
      <c r="TKB33" s="216"/>
      <c r="TKC33" s="216"/>
      <c r="TKD33" s="216"/>
      <c r="TKE33" s="216"/>
      <c r="TKF33" s="216"/>
      <c r="TKG33" s="216"/>
      <c r="TKH33" s="216"/>
      <c r="TKI33" s="216"/>
      <c r="TKJ33" s="216"/>
      <c r="TKK33" s="216"/>
      <c r="TKL33" s="216"/>
      <c r="TKM33" s="216"/>
      <c r="TKN33" s="216"/>
      <c r="TKO33" s="216"/>
      <c r="TKP33" s="216"/>
      <c r="TKQ33" s="216"/>
      <c r="TKR33" s="216"/>
      <c r="TKS33" s="216"/>
      <c r="TKT33" s="216"/>
      <c r="TKU33" s="216"/>
      <c r="TKV33" s="216"/>
      <c r="TKW33" s="216"/>
      <c r="TKX33" s="216"/>
      <c r="TKY33" s="216"/>
      <c r="TKZ33" s="216"/>
      <c r="TLA33" s="216"/>
      <c r="TLB33" s="216"/>
      <c r="TLC33" s="216"/>
      <c r="TLD33" s="216"/>
      <c r="TLE33" s="216"/>
      <c r="TLF33" s="216"/>
      <c r="TLG33" s="216"/>
      <c r="TLH33" s="216"/>
      <c r="TLI33" s="216"/>
      <c r="TLJ33" s="216"/>
      <c r="TLK33" s="216"/>
      <c r="TLL33" s="216"/>
      <c r="TLM33" s="216"/>
      <c r="TLN33" s="216"/>
      <c r="TLO33" s="216"/>
      <c r="TLP33" s="216"/>
      <c r="TLQ33" s="216"/>
      <c r="TLR33" s="216"/>
      <c r="TLS33" s="216"/>
      <c r="TLT33" s="216"/>
      <c r="TLU33" s="216"/>
      <c r="TLV33" s="216"/>
      <c r="TLW33" s="216"/>
      <c r="TLX33" s="216"/>
      <c r="TLY33" s="216"/>
      <c r="TLZ33" s="216"/>
      <c r="TMA33" s="216"/>
      <c r="TMB33" s="216"/>
      <c r="TMC33" s="216"/>
      <c r="TMD33" s="216"/>
      <c r="TME33" s="216"/>
      <c r="TMF33" s="216"/>
      <c r="TMG33" s="216"/>
      <c r="TMH33" s="216"/>
      <c r="TMI33" s="216"/>
      <c r="TMJ33" s="216"/>
      <c r="TMK33" s="216"/>
      <c r="TML33" s="216"/>
      <c r="TMM33" s="216"/>
      <c r="TMN33" s="216"/>
      <c r="TMO33" s="216"/>
      <c r="TMP33" s="216"/>
      <c r="TMQ33" s="216"/>
      <c r="TMR33" s="216"/>
      <c r="TMS33" s="216"/>
      <c r="TMT33" s="216"/>
      <c r="TMU33" s="216"/>
      <c r="TMV33" s="216"/>
      <c r="TMW33" s="216"/>
      <c r="TMX33" s="216"/>
      <c r="TMY33" s="216"/>
      <c r="TMZ33" s="216"/>
      <c r="TNA33" s="216"/>
      <c r="TNB33" s="216"/>
      <c r="TNC33" s="216"/>
      <c r="TND33" s="216"/>
      <c r="TNE33" s="216"/>
      <c r="TNF33" s="216"/>
      <c r="TNG33" s="216"/>
      <c r="TNH33" s="216"/>
      <c r="TNI33" s="216"/>
      <c r="TNJ33" s="216"/>
      <c r="TNK33" s="216"/>
      <c r="TNL33" s="216"/>
      <c r="TNM33" s="216"/>
      <c r="TNN33" s="216"/>
      <c r="TNO33" s="216"/>
      <c r="TNP33" s="216"/>
      <c r="TNQ33" s="216"/>
      <c r="TNR33" s="216"/>
      <c r="TNS33" s="216"/>
      <c r="TNT33" s="216"/>
      <c r="TNU33" s="216"/>
      <c r="TNV33" s="216"/>
      <c r="TNW33" s="216"/>
      <c r="TNX33" s="216"/>
      <c r="TNY33" s="216"/>
      <c r="TNZ33" s="216"/>
      <c r="TOA33" s="216"/>
      <c r="TOB33" s="216"/>
      <c r="TOC33" s="216"/>
      <c r="TOD33" s="216"/>
      <c r="TOE33" s="216"/>
      <c r="TOF33" s="216"/>
      <c r="TOG33" s="216"/>
      <c r="TOH33" s="216"/>
      <c r="TOI33" s="216"/>
      <c r="TOJ33" s="216"/>
      <c r="TOK33" s="216"/>
      <c r="TOL33" s="216"/>
      <c r="TOM33" s="216"/>
      <c r="TON33" s="216"/>
      <c r="TOO33" s="216"/>
      <c r="TOP33" s="216"/>
      <c r="TOQ33" s="216"/>
      <c r="TOR33" s="216"/>
      <c r="TOS33" s="216"/>
      <c r="TOT33" s="216"/>
      <c r="TOU33" s="216"/>
      <c r="TOV33" s="216"/>
      <c r="TOW33" s="216"/>
      <c r="TOX33" s="216"/>
      <c r="TOY33" s="216"/>
      <c r="TOZ33" s="216"/>
      <c r="TPA33" s="216"/>
      <c r="TPB33" s="216"/>
      <c r="TPC33" s="216"/>
      <c r="TPD33" s="216"/>
      <c r="TPE33" s="216"/>
      <c r="TPF33" s="216"/>
      <c r="TPG33" s="216"/>
      <c r="TPH33" s="216"/>
      <c r="TPI33" s="216"/>
      <c r="TPJ33" s="216"/>
      <c r="TPK33" s="216"/>
      <c r="TPL33" s="216"/>
      <c r="TPM33" s="216"/>
      <c r="TPN33" s="216"/>
      <c r="TPO33" s="216"/>
      <c r="TPP33" s="216"/>
      <c r="TPQ33" s="216"/>
      <c r="TPR33" s="216"/>
      <c r="TPS33" s="216"/>
      <c r="TPT33" s="216"/>
      <c r="TPU33" s="216"/>
      <c r="TPV33" s="216"/>
      <c r="TPW33" s="216"/>
      <c r="TPX33" s="216"/>
      <c r="TPY33" s="216"/>
      <c r="TPZ33" s="216"/>
      <c r="TQA33" s="216"/>
      <c r="TQB33" s="216"/>
      <c r="TQC33" s="216"/>
      <c r="TQD33" s="216"/>
      <c r="TQE33" s="216"/>
      <c r="TQF33" s="216"/>
      <c r="TQG33" s="216"/>
      <c r="TQH33" s="216"/>
      <c r="TQI33" s="216"/>
      <c r="TQJ33" s="216"/>
      <c r="TQK33" s="216"/>
      <c r="TQL33" s="216"/>
      <c r="TQM33" s="216"/>
      <c r="TQN33" s="216"/>
      <c r="TQO33" s="216"/>
      <c r="TQP33" s="216"/>
      <c r="TQQ33" s="216"/>
      <c r="TQR33" s="216"/>
      <c r="TQS33" s="216"/>
      <c r="TQT33" s="216"/>
      <c r="TQU33" s="216"/>
      <c r="TQV33" s="216"/>
      <c r="TQW33" s="216"/>
      <c r="TQX33" s="216"/>
      <c r="TQY33" s="216"/>
      <c r="TQZ33" s="216"/>
      <c r="TRA33" s="216"/>
      <c r="TRB33" s="216"/>
      <c r="TRC33" s="216"/>
      <c r="TRD33" s="216"/>
      <c r="TRE33" s="216"/>
      <c r="TRF33" s="216"/>
      <c r="TRG33" s="216"/>
      <c r="TRH33" s="216"/>
      <c r="TRI33" s="216"/>
      <c r="TRJ33" s="216"/>
      <c r="TRK33" s="216"/>
      <c r="TRL33" s="216"/>
      <c r="TRM33" s="216"/>
      <c r="TRN33" s="216"/>
      <c r="TRO33" s="216"/>
      <c r="TRP33" s="216"/>
      <c r="TRQ33" s="216"/>
      <c r="TRR33" s="216"/>
      <c r="TRS33" s="216"/>
      <c r="TRT33" s="216"/>
      <c r="TRU33" s="216"/>
      <c r="TRV33" s="216"/>
      <c r="TRW33" s="216"/>
      <c r="TRX33" s="216"/>
      <c r="TRY33" s="216"/>
      <c r="TRZ33" s="216"/>
      <c r="TSA33" s="216"/>
      <c r="TSB33" s="216"/>
      <c r="TSC33" s="216"/>
      <c r="TSD33" s="216"/>
      <c r="TSE33" s="216"/>
      <c r="TSF33" s="216"/>
      <c r="TSG33" s="216"/>
      <c r="TSH33" s="216"/>
      <c r="TSI33" s="216"/>
      <c r="TSJ33" s="216"/>
      <c r="TSK33" s="216"/>
      <c r="TSL33" s="216"/>
      <c r="TSM33" s="216"/>
      <c r="TSN33" s="216"/>
      <c r="TSO33" s="216"/>
      <c r="TSP33" s="216"/>
      <c r="TSQ33" s="216"/>
      <c r="TSR33" s="216"/>
      <c r="TSS33" s="216"/>
      <c r="TST33" s="216"/>
      <c r="TSU33" s="216"/>
      <c r="TSV33" s="216"/>
      <c r="TSW33" s="216"/>
      <c r="TSX33" s="216"/>
      <c r="TSY33" s="216"/>
      <c r="TSZ33" s="216"/>
      <c r="TTA33" s="216"/>
      <c r="TTB33" s="216"/>
      <c r="TTC33" s="216"/>
      <c r="TTD33" s="216"/>
      <c r="TTE33" s="216"/>
      <c r="TTF33" s="216"/>
      <c r="TTG33" s="216"/>
      <c r="TTH33" s="216"/>
      <c r="TTI33" s="216"/>
      <c r="TTJ33" s="216"/>
      <c r="TTK33" s="216"/>
      <c r="TTL33" s="216"/>
      <c r="TTM33" s="216"/>
      <c r="TTN33" s="216"/>
      <c r="TTO33" s="216"/>
      <c r="TTP33" s="216"/>
      <c r="TTQ33" s="216"/>
      <c r="TTR33" s="216"/>
      <c r="TTS33" s="216"/>
      <c r="TTT33" s="216"/>
      <c r="TTU33" s="216"/>
      <c r="TTV33" s="216"/>
      <c r="TTW33" s="216"/>
      <c r="TTX33" s="216"/>
      <c r="TTY33" s="216"/>
      <c r="TTZ33" s="216"/>
      <c r="TUA33" s="216"/>
      <c r="TUB33" s="216"/>
      <c r="TUC33" s="216"/>
      <c r="TUD33" s="216"/>
      <c r="TUE33" s="216"/>
      <c r="TUF33" s="216"/>
      <c r="TUG33" s="216"/>
      <c r="TUH33" s="216"/>
      <c r="TUI33" s="216"/>
      <c r="TUJ33" s="216"/>
      <c r="TUK33" s="216"/>
      <c r="TUL33" s="216"/>
      <c r="TUM33" s="216"/>
      <c r="TUN33" s="216"/>
      <c r="TUO33" s="216"/>
      <c r="TUP33" s="216"/>
      <c r="TUQ33" s="216"/>
      <c r="TUR33" s="216"/>
      <c r="TUS33" s="216"/>
      <c r="TUT33" s="216"/>
      <c r="TUU33" s="216"/>
      <c r="TUV33" s="216"/>
      <c r="TUW33" s="216"/>
      <c r="TUX33" s="216"/>
      <c r="TUY33" s="216"/>
      <c r="TUZ33" s="216"/>
      <c r="TVA33" s="216"/>
      <c r="TVB33" s="216"/>
      <c r="TVC33" s="216"/>
      <c r="TVD33" s="216"/>
      <c r="TVE33" s="216"/>
      <c r="TVF33" s="216"/>
      <c r="TVG33" s="216"/>
      <c r="TVH33" s="216"/>
      <c r="TVI33" s="216"/>
      <c r="TVJ33" s="216"/>
      <c r="TVK33" s="216"/>
      <c r="TVL33" s="216"/>
      <c r="TVM33" s="216"/>
      <c r="TVN33" s="216"/>
      <c r="TVO33" s="216"/>
      <c r="TVP33" s="216"/>
      <c r="TVQ33" s="216"/>
      <c r="TVR33" s="216"/>
      <c r="TVS33" s="216"/>
      <c r="TVT33" s="216"/>
      <c r="TVU33" s="216"/>
      <c r="TVV33" s="216"/>
      <c r="TVW33" s="216"/>
      <c r="TVX33" s="216"/>
      <c r="TVY33" s="216"/>
      <c r="TVZ33" s="216"/>
      <c r="TWA33" s="216"/>
      <c r="TWB33" s="216"/>
      <c r="TWC33" s="216"/>
      <c r="TWD33" s="216"/>
      <c r="TWE33" s="216"/>
      <c r="TWF33" s="216"/>
      <c r="TWG33" s="216"/>
      <c r="TWH33" s="216"/>
      <c r="TWI33" s="216"/>
      <c r="TWJ33" s="216"/>
      <c r="TWK33" s="216"/>
      <c r="TWL33" s="216"/>
      <c r="TWM33" s="216"/>
      <c r="TWN33" s="216"/>
      <c r="TWO33" s="216"/>
      <c r="TWP33" s="216"/>
      <c r="TWQ33" s="216"/>
      <c r="TWR33" s="216"/>
      <c r="TWS33" s="216"/>
      <c r="TWT33" s="216"/>
      <c r="TWU33" s="216"/>
      <c r="TWV33" s="216"/>
      <c r="TWW33" s="216"/>
      <c r="TWX33" s="216"/>
      <c r="TWY33" s="216"/>
      <c r="TWZ33" s="216"/>
      <c r="TXA33" s="216"/>
      <c r="TXB33" s="216"/>
      <c r="TXC33" s="216"/>
      <c r="TXD33" s="216"/>
      <c r="TXE33" s="216"/>
      <c r="TXF33" s="216"/>
      <c r="TXG33" s="216"/>
      <c r="TXH33" s="216"/>
      <c r="TXI33" s="216"/>
      <c r="TXJ33" s="216"/>
      <c r="TXK33" s="216"/>
      <c r="TXL33" s="216"/>
      <c r="TXM33" s="216"/>
      <c r="TXN33" s="216"/>
      <c r="TXO33" s="216"/>
      <c r="TXP33" s="216"/>
      <c r="TXQ33" s="216"/>
      <c r="TXR33" s="216"/>
      <c r="TXS33" s="216"/>
      <c r="TXT33" s="216"/>
      <c r="TXU33" s="216"/>
      <c r="TXV33" s="216"/>
      <c r="TXW33" s="216"/>
      <c r="TXX33" s="216"/>
      <c r="TXY33" s="216"/>
      <c r="TXZ33" s="216"/>
      <c r="TYA33" s="216"/>
      <c r="TYB33" s="216"/>
      <c r="TYC33" s="216"/>
      <c r="TYD33" s="216"/>
      <c r="TYE33" s="216"/>
      <c r="TYF33" s="216"/>
      <c r="TYG33" s="216"/>
      <c r="TYH33" s="216"/>
      <c r="TYI33" s="216"/>
      <c r="TYJ33" s="216"/>
      <c r="TYK33" s="216"/>
      <c r="TYL33" s="216"/>
      <c r="TYM33" s="216"/>
      <c r="TYN33" s="216"/>
      <c r="TYO33" s="216"/>
      <c r="TYP33" s="216"/>
      <c r="TYQ33" s="216"/>
      <c r="TYR33" s="216"/>
      <c r="TYS33" s="216"/>
      <c r="TYT33" s="216"/>
      <c r="TYU33" s="216"/>
      <c r="TYV33" s="216"/>
      <c r="TYW33" s="216"/>
      <c r="TYX33" s="216"/>
      <c r="TYY33" s="216"/>
      <c r="TYZ33" s="216"/>
      <c r="TZA33" s="216"/>
      <c r="TZB33" s="216"/>
      <c r="TZC33" s="216"/>
      <c r="TZD33" s="216"/>
      <c r="TZE33" s="216"/>
      <c r="TZF33" s="216"/>
      <c r="TZG33" s="216"/>
      <c r="TZH33" s="216"/>
      <c r="TZI33" s="216"/>
      <c r="TZJ33" s="216"/>
      <c r="TZK33" s="216"/>
      <c r="TZL33" s="216"/>
      <c r="TZM33" s="216"/>
      <c r="TZN33" s="216"/>
      <c r="TZO33" s="216"/>
      <c r="TZP33" s="216"/>
      <c r="TZQ33" s="216"/>
      <c r="TZR33" s="216"/>
      <c r="TZS33" s="216"/>
      <c r="TZT33" s="216"/>
      <c r="TZU33" s="216"/>
      <c r="TZV33" s="216"/>
      <c r="TZW33" s="216"/>
      <c r="TZX33" s="216"/>
      <c r="TZY33" s="216"/>
      <c r="TZZ33" s="216"/>
      <c r="UAA33" s="216"/>
      <c r="UAB33" s="216"/>
      <c r="UAC33" s="216"/>
      <c r="UAD33" s="216"/>
      <c r="UAE33" s="216"/>
      <c r="UAF33" s="216"/>
      <c r="UAG33" s="216"/>
      <c r="UAH33" s="216"/>
      <c r="UAI33" s="216"/>
      <c r="UAJ33" s="216"/>
      <c r="UAK33" s="216"/>
      <c r="UAL33" s="216"/>
      <c r="UAM33" s="216"/>
      <c r="UAN33" s="216"/>
      <c r="UAO33" s="216"/>
      <c r="UAP33" s="216"/>
      <c r="UAQ33" s="216"/>
      <c r="UAR33" s="216"/>
      <c r="UAS33" s="216"/>
      <c r="UAT33" s="216"/>
      <c r="UAU33" s="216"/>
      <c r="UAV33" s="216"/>
      <c r="UAW33" s="216"/>
      <c r="UAX33" s="216"/>
      <c r="UAY33" s="216"/>
      <c r="UAZ33" s="216"/>
      <c r="UBA33" s="216"/>
      <c r="UBB33" s="216"/>
      <c r="UBC33" s="216"/>
      <c r="UBD33" s="216"/>
      <c r="UBE33" s="216"/>
      <c r="UBF33" s="216"/>
      <c r="UBG33" s="216"/>
      <c r="UBH33" s="216"/>
      <c r="UBI33" s="216"/>
      <c r="UBJ33" s="216"/>
      <c r="UBK33" s="216"/>
      <c r="UBL33" s="216"/>
      <c r="UBM33" s="216"/>
      <c r="UBN33" s="216"/>
      <c r="UBO33" s="216"/>
      <c r="UBP33" s="216"/>
      <c r="UBQ33" s="216"/>
      <c r="UBR33" s="216"/>
      <c r="UBS33" s="216"/>
      <c r="UBT33" s="216"/>
      <c r="UBU33" s="216"/>
      <c r="UBV33" s="216"/>
      <c r="UBW33" s="216"/>
      <c r="UBX33" s="216"/>
      <c r="UBY33" s="216"/>
      <c r="UBZ33" s="216"/>
      <c r="UCA33" s="216"/>
      <c r="UCB33" s="216"/>
      <c r="UCC33" s="216"/>
      <c r="UCD33" s="216"/>
      <c r="UCE33" s="216"/>
      <c r="UCF33" s="216"/>
      <c r="UCG33" s="216"/>
      <c r="UCH33" s="216"/>
      <c r="UCI33" s="216"/>
      <c r="UCJ33" s="216"/>
      <c r="UCK33" s="216"/>
      <c r="UCL33" s="216"/>
      <c r="UCM33" s="216"/>
      <c r="UCN33" s="216"/>
      <c r="UCO33" s="216"/>
      <c r="UCP33" s="216"/>
      <c r="UCQ33" s="216"/>
      <c r="UCR33" s="216"/>
      <c r="UCS33" s="216"/>
      <c r="UCT33" s="216"/>
      <c r="UCU33" s="216"/>
      <c r="UCV33" s="216"/>
      <c r="UCW33" s="216"/>
      <c r="UCX33" s="216"/>
      <c r="UCY33" s="216"/>
      <c r="UCZ33" s="216"/>
      <c r="UDA33" s="216"/>
      <c r="UDB33" s="216"/>
      <c r="UDC33" s="216"/>
      <c r="UDD33" s="216"/>
      <c r="UDE33" s="216"/>
      <c r="UDF33" s="216"/>
      <c r="UDG33" s="216"/>
      <c r="UDH33" s="216"/>
      <c r="UDI33" s="216"/>
      <c r="UDJ33" s="216"/>
      <c r="UDK33" s="216"/>
      <c r="UDL33" s="216"/>
      <c r="UDM33" s="216"/>
      <c r="UDN33" s="216"/>
      <c r="UDO33" s="216"/>
      <c r="UDP33" s="216"/>
      <c r="UDQ33" s="216"/>
      <c r="UDR33" s="216"/>
      <c r="UDS33" s="216"/>
      <c r="UDT33" s="216"/>
      <c r="UDU33" s="216"/>
      <c r="UDV33" s="216"/>
      <c r="UDW33" s="216"/>
      <c r="UDX33" s="216"/>
      <c r="UDY33" s="216"/>
      <c r="UDZ33" s="216"/>
      <c r="UEA33" s="216"/>
      <c r="UEB33" s="216"/>
      <c r="UEC33" s="216"/>
      <c r="UED33" s="216"/>
      <c r="UEE33" s="216"/>
      <c r="UEF33" s="216"/>
      <c r="UEG33" s="216"/>
      <c r="UEH33" s="216"/>
      <c r="UEI33" s="216"/>
      <c r="UEJ33" s="216"/>
      <c r="UEK33" s="216"/>
      <c r="UEL33" s="216"/>
      <c r="UEM33" s="216"/>
      <c r="UEN33" s="216"/>
      <c r="UEO33" s="216"/>
      <c r="UEP33" s="216"/>
      <c r="UEQ33" s="216"/>
      <c r="UER33" s="216"/>
      <c r="UES33" s="216"/>
      <c r="UET33" s="216"/>
      <c r="UEU33" s="216"/>
      <c r="UEV33" s="216"/>
      <c r="UEW33" s="216"/>
      <c r="UEX33" s="216"/>
      <c r="UEY33" s="216"/>
      <c r="UEZ33" s="216"/>
      <c r="UFA33" s="216"/>
      <c r="UFB33" s="216"/>
      <c r="UFC33" s="216"/>
      <c r="UFD33" s="216"/>
      <c r="UFE33" s="216"/>
      <c r="UFF33" s="216"/>
      <c r="UFG33" s="216"/>
      <c r="UFH33" s="216"/>
      <c r="UFI33" s="216"/>
      <c r="UFJ33" s="216"/>
      <c r="UFK33" s="216"/>
      <c r="UFL33" s="216"/>
      <c r="UFM33" s="216"/>
      <c r="UFN33" s="216"/>
      <c r="UFO33" s="216"/>
      <c r="UFP33" s="216"/>
      <c r="UFQ33" s="216"/>
      <c r="UFR33" s="216"/>
      <c r="UFS33" s="216"/>
      <c r="UFT33" s="216"/>
      <c r="UFU33" s="216"/>
      <c r="UFV33" s="216"/>
      <c r="UFW33" s="216"/>
      <c r="UFX33" s="216"/>
      <c r="UFY33" s="216"/>
      <c r="UFZ33" s="216"/>
      <c r="UGA33" s="216"/>
      <c r="UGB33" s="216"/>
      <c r="UGC33" s="216"/>
      <c r="UGD33" s="216"/>
      <c r="UGE33" s="216"/>
      <c r="UGF33" s="216"/>
      <c r="UGG33" s="216"/>
      <c r="UGH33" s="216"/>
      <c r="UGI33" s="216"/>
      <c r="UGJ33" s="216"/>
      <c r="UGK33" s="216"/>
      <c r="UGL33" s="216"/>
      <c r="UGM33" s="216"/>
      <c r="UGN33" s="216"/>
      <c r="UGO33" s="216"/>
      <c r="UGP33" s="216"/>
      <c r="UGQ33" s="216"/>
      <c r="UGR33" s="216"/>
      <c r="UGS33" s="216"/>
      <c r="UGT33" s="216"/>
      <c r="UGU33" s="216"/>
      <c r="UGV33" s="216"/>
      <c r="UGW33" s="216"/>
      <c r="UGX33" s="216"/>
      <c r="UGY33" s="216"/>
      <c r="UGZ33" s="216"/>
      <c r="UHA33" s="216"/>
      <c r="UHB33" s="216"/>
      <c r="UHC33" s="216"/>
      <c r="UHD33" s="216"/>
      <c r="UHE33" s="216"/>
      <c r="UHF33" s="216"/>
      <c r="UHG33" s="216"/>
      <c r="UHH33" s="216"/>
      <c r="UHI33" s="216"/>
      <c r="UHJ33" s="216"/>
      <c r="UHK33" s="216"/>
      <c r="UHL33" s="216"/>
      <c r="UHM33" s="216"/>
      <c r="UHN33" s="216"/>
      <c r="UHO33" s="216"/>
      <c r="UHP33" s="216"/>
      <c r="UHQ33" s="216"/>
      <c r="UHR33" s="216"/>
      <c r="UHS33" s="216"/>
      <c r="UHT33" s="216"/>
      <c r="UHU33" s="216"/>
      <c r="UHV33" s="216"/>
      <c r="UHW33" s="216"/>
      <c r="UHX33" s="216"/>
      <c r="UHY33" s="216"/>
      <c r="UHZ33" s="216"/>
      <c r="UIA33" s="216"/>
      <c r="UIB33" s="216"/>
      <c r="UIC33" s="216"/>
      <c r="UID33" s="216"/>
      <c r="UIE33" s="216"/>
      <c r="UIF33" s="216"/>
      <c r="UIG33" s="216"/>
      <c r="UIH33" s="216"/>
      <c r="UII33" s="216"/>
      <c r="UIJ33" s="216"/>
      <c r="UIK33" s="216"/>
      <c r="UIL33" s="216"/>
      <c r="UIM33" s="216"/>
      <c r="UIN33" s="216"/>
      <c r="UIO33" s="216"/>
      <c r="UIP33" s="216"/>
      <c r="UIQ33" s="216"/>
      <c r="UIR33" s="216"/>
      <c r="UIS33" s="216"/>
      <c r="UIT33" s="216"/>
      <c r="UIU33" s="216"/>
      <c r="UIV33" s="216"/>
      <c r="UIW33" s="216"/>
      <c r="UIX33" s="216"/>
      <c r="UIY33" s="216"/>
      <c r="UIZ33" s="216"/>
      <c r="UJA33" s="216"/>
      <c r="UJB33" s="216"/>
      <c r="UJC33" s="216"/>
      <c r="UJD33" s="216"/>
      <c r="UJE33" s="216"/>
      <c r="UJF33" s="216"/>
      <c r="UJG33" s="216"/>
      <c r="UJH33" s="216"/>
      <c r="UJI33" s="216"/>
      <c r="UJJ33" s="216"/>
      <c r="UJK33" s="216"/>
      <c r="UJL33" s="216"/>
      <c r="UJM33" s="216"/>
      <c r="UJN33" s="216"/>
      <c r="UJO33" s="216"/>
      <c r="UJP33" s="216"/>
      <c r="UJQ33" s="216"/>
      <c r="UJR33" s="216"/>
      <c r="UJS33" s="216"/>
      <c r="UJT33" s="216"/>
      <c r="UJU33" s="216"/>
      <c r="UJV33" s="216"/>
      <c r="UJW33" s="216"/>
      <c r="UJX33" s="216"/>
      <c r="UJY33" s="216"/>
      <c r="UJZ33" s="216"/>
      <c r="UKA33" s="216"/>
      <c r="UKB33" s="216"/>
      <c r="UKC33" s="216"/>
      <c r="UKD33" s="216"/>
      <c r="UKE33" s="216"/>
      <c r="UKF33" s="216"/>
      <c r="UKG33" s="216"/>
      <c r="UKH33" s="216"/>
      <c r="UKI33" s="216"/>
      <c r="UKJ33" s="216"/>
      <c r="UKK33" s="216"/>
      <c r="UKL33" s="216"/>
      <c r="UKM33" s="216"/>
      <c r="UKN33" s="216"/>
      <c r="UKO33" s="216"/>
      <c r="UKP33" s="216"/>
      <c r="UKQ33" s="216"/>
      <c r="UKR33" s="216"/>
      <c r="UKS33" s="216"/>
      <c r="UKT33" s="216"/>
      <c r="UKU33" s="216"/>
      <c r="UKV33" s="216"/>
      <c r="UKW33" s="216"/>
      <c r="UKX33" s="216"/>
      <c r="UKY33" s="216"/>
      <c r="UKZ33" s="216"/>
      <c r="ULA33" s="216"/>
      <c r="ULB33" s="216"/>
      <c r="ULC33" s="216"/>
      <c r="ULD33" s="216"/>
      <c r="ULE33" s="216"/>
      <c r="ULF33" s="216"/>
      <c r="ULG33" s="216"/>
      <c r="ULH33" s="216"/>
      <c r="ULI33" s="216"/>
      <c r="ULJ33" s="216"/>
      <c r="ULK33" s="216"/>
      <c r="ULL33" s="216"/>
      <c r="ULM33" s="216"/>
      <c r="ULN33" s="216"/>
      <c r="ULO33" s="216"/>
      <c r="ULP33" s="216"/>
      <c r="ULQ33" s="216"/>
      <c r="ULR33" s="216"/>
      <c r="ULS33" s="216"/>
      <c r="ULT33" s="216"/>
      <c r="ULU33" s="216"/>
      <c r="ULV33" s="216"/>
      <c r="ULW33" s="216"/>
      <c r="ULX33" s="216"/>
      <c r="ULY33" s="216"/>
      <c r="ULZ33" s="216"/>
      <c r="UMA33" s="216"/>
      <c r="UMB33" s="216"/>
      <c r="UMC33" s="216"/>
      <c r="UMD33" s="216"/>
      <c r="UME33" s="216"/>
      <c r="UMF33" s="216"/>
      <c r="UMG33" s="216"/>
      <c r="UMH33" s="216"/>
      <c r="UMI33" s="216"/>
      <c r="UMJ33" s="216"/>
      <c r="UMK33" s="216"/>
      <c r="UML33" s="216"/>
      <c r="UMM33" s="216"/>
      <c r="UMN33" s="216"/>
      <c r="UMO33" s="216"/>
      <c r="UMP33" s="216"/>
      <c r="UMQ33" s="216"/>
      <c r="UMR33" s="216"/>
      <c r="UMS33" s="216"/>
      <c r="UMT33" s="216"/>
      <c r="UMU33" s="216"/>
      <c r="UMV33" s="216"/>
      <c r="UMW33" s="216"/>
      <c r="UMX33" s="216"/>
      <c r="UMY33" s="216"/>
      <c r="UMZ33" s="216"/>
      <c r="UNA33" s="216"/>
      <c r="UNB33" s="216"/>
      <c r="UNC33" s="216"/>
      <c r="UND33" s="216"/>
      <c r="UNE33" s="216"/>
      <c r="UNF33" s="216"/>
      <c r="UNG33" s="216"/>
      <c r="UNH33" s="216"/>
      <c r="UNI33" s="216"/>
      <c r="UNJ33" s="216"/>
      <c r="UNK33" s="216"/>
      <c r="UNL33" s="216"/>
      <c r="UNM33" s="216"/>
      <c r="UNN33" s="216"/>
      <c r="UNO33" s="216"/>
      <c r="UNP33" s="216"/>
      <c r="UNQ33" s="216"/>
      <c r="UNR33" s="216"/>
      <c r="UNS33" s="216"/>
      <c r="UNT33" s="216"/>
      <c r="UNU33" s="216"/>
      <c r="UNV33" s="216"/>
      <c r="UNW33" s="216"/>
      <c r="UNX33" s="216"/>
      <c r="UNY33" s="216"/>
      <c r="UNZ33" s="216"/>
      <c r="UOA33" s="216"/>
      <c r="UOB33" s="216"/>
      <c r="UOC33" s="216"/>
      <c r="UOD33" s="216"/>
      <c r="UOE33" s="216"/>
      <c r="UOF33" s="216"/>
      <c r="UOG33" s="216"/>
      <c r="UOH33" s="216"/>
      <c r="UOI33" s="216"/>
      <c r="UOJ33" s="216"/>
      <c r="UOK33" s="216"/>
      <c r="UOL33" s="216"/>
      <c r="UOM33" s="216"/>
      <c r="UON33" s="216"/>
      <c r="UOO33" s="216"/>
      <c r="UOP33" s="216"/>
      <c r="UOQ33" s="216"/>
      <c r="UOR33" s="216"/>
      <c r="UOS33" s="216"/>
      <c r="UOT33" s="216"/>
      <c r="UOU33" s="216"/>
      <c r="UOV33" s="216"/>
      <c r="UOW33" s="216"/>
      <c r="UOX33" s="216"/>
      <c r="UOY33" s="216"/>
      <c r="UOZ33" s="216"/>
      <c r="UPA33" s="216"/>
      <c r="UPB33" s="216"/>
      <c r="UPC33" s="216"/>
      <c r="UPD33" s="216"/>
      <c r="UPE33" s="216"/>
      <c r="UPF33" s="216"/>
      <c r="UPG33" s="216"/>
      <c r="UPH33" s="216"/>
      <c r="UPI33" s="216"/>
      <c r="UPJ33" s="216"/>
      <c r="UPK33" s="216"/>
      <c r="UPL33" s="216"/>
      <c r="UPM33" s="216"/>
      <c r="UPN33" s="216"/>
      <c r="UPO33" s="216"/>
      <c r="UPP33" s="216"/>
      <c r="UPQ33" s="216"/>
      <c r="UPR33" s="216"/>
      <c r="UPS33" s="216"/>
      <c r="UPT33" s="216"/>
      <c r="UPU33" s="216"/>
      <c r="UPV33" s="216"/>
      <c r="UPW33" s="216"/>
      <c r="UPX33" s="216"/>
      <c r="UPY33" s="216"/>
      <c r="UPZ33" s="216"/>
      <c r="UQA33" s="216"/>
      <c r="UQB33" s="216"/>
      <c r="UQC33" s="216"/>
      <c r="UQD33" s="216"/>
      <c r="UQE33" s="216"/>
      <c r="UQF33" s="216"/>
      <c r="UQG33" s="216"/>
      <c r="UQH33" s="216"/>
      <c r="UQI33" s="216"/>
      <c r="UQJ33" s="216"/>
      <c r="UQK33" s="216"/>
      <c r="UQL33" s="216"/>
      <c r="UQM33" s="216"/>
      <c r="UQN33" s="216"/>
      <c r="UQO33" s="216"/>
      <c r="UQP33" s="216"/>
      <c r="UQQ33" s="216"/>
      <c r="UQR33" s="216"/>
      <c r="UQS33" s="216"/>
      <c r="UQT33" s="216"/>
      <c r="UQU33" s="216"/>
      <c r="UQV33" s="216"/>
      <c r="UQW33" s="216"/>
      <c r="UQX33" s="216"/>
      <c r="UQY33" s="216"/>
      <c r="UQZ33" s="216"/>
      <c r="URA33" s="216"/>
      <c r="URB33" s="216"/>
      <c r="URC33" s="216"/>
      <c r="URD33" s="216"/>
      <c r="URE33" s="216"/>
      <c r="URF33" s="216"/>
      <c r="URG33" s="216"/>
      <c r="URH33" s="216"/>
      <c r="URI33" s="216"/>
      <c r="URJ33" s="216"/>
      <c r="URK33" s="216"/>
      <c r="URL33" s="216"/>
      <c r="URM33" s="216"/>
      <c r="URN33" s="216"/>
      <c r="URO33" s="216"/>
      <c r="URP33" s="216"/>
      <c r="URQ33" s="216"/>
      <c r="URR33" s="216"/>
      <c r="URS33" s="216"/>
      <c r="URT33" s="216"/>
      <c r="URU33" s="216"/>
      <c r="URV33" s="216"/>
      <c r="URW33" s="216"/>
      <c r="URX33" s="216"/>
      <c r="URY33" s="216"/>
      <c r="URZ33" s="216"/>
      <c r="USA33" s="216"/>
      <c r="USB33" s="216"/>
      <c r="USC33" s="216"/>
      <c r="USD33" s="216"/>
      <c r="USE33" s="216"/>
      <c r="USF33" s="216"/>
      <c r="USG33" s="216"/>
      <c r="USH33" s="216"/>
      <c r="USI33" s="216"/>
      <c r="USJ33" s="216"/>
      <c r="USK33" s="216"/>
      <c r="USL33" s="216"/>
      <c r="USM33" s="216"/>
      <c r="USN33" s="216"/>
      <c r="USO33" s="216"/>
      <c r="USP33" s="216"/>
      <c r="USQ33" s="216"/>
      <c r="USR33" s="216"/>
      <c r="USS33" s="216"/>
      <c r="UST33" s="216"/>
      <c r="USU33" s="216"/>
      <c r="USV33" s="216"/>
      <c r="USW33" s="216"/>
      <c r="USX33" s="216"/>
      <c r="USY33" s="216"/>
      <c r="USZ33" s="216"/>
      <c r="UTA33" s="216"/>
      <c r="UTB33" s="216"/>
      <c r="UTC33" s="216"/>
      <c r="UTD33" s="216"/>
      <c r="UTE33" s="216"/>
      <c r="UTF33" s="216"/>
      <c r="UTG33" s="216"/>
      <c r="UTH33" s="216"/>
      <c r="UTI33" s="216"/>
      <c r="UTJ33" s="216"/>
      <c r="UTK33" s="216"/>
      <c r="UTL33" s="216"/>
      <c r="UTM33" s="216"/>
      <c r="UTN33" s="216"/>
      <c r="UTO33" s="216"/>
      <c r="UTP33" s="216"/>
      <c r="UTQ33" s="216"/>
      <c r="UTR33" s="216"/>
      <c r="UTS33" s="216"/>
      <c r="UTT33" s="216"/>
      <c r="UTU33" s="216"/>
      <c r="UTV33" s="216"/>
      <c r="UTW33" s="216"/>
      <c r="UTX33" s="216"/>
      <c r="UTY33" s="216"/>
      <c r="UTZ33" s="216"/>
      <c r="UUA33" s="216"/>
      <c r="UUB33" s="216"/>
      <c r="UUC33" s="216"/>
      <c r="UUD33" s="216"/>
      <c r="UUE33" s="216"/>
      <c r="UUF33" s="216"/>
      <c r="UUG33" s="216"/>
      <c r="UUH33" s="216"/>
      <c r="UUI33" s="216"/>
      <c r="UUJ33" s="216"/>
      <c r="UUK33" s="216"/>
      <c r="UUL33" s="216"/>
      <c r="UUM33" s="216"/>
      <c r="UUN33" s="216"/>
      <c r="UUO33" s="216"/>
      <c r="UUP33" s="216"/>
      <c r="UUQ33" s="216"/>
      <c r="UUR33" s="216"/>
      <c r="UUS33" s="216"/>
      <c r="UUT33" s="216"/>
      <c r="UUU33" s="216"/>
      <c r="UUV33" s="216"/>
      <c r="UUW33" s="216"/>
      <c r="UUX33" s="216"/>
      <c r="UUY33" s="216"/>
      <c r="UUZ33" s="216"/>
      <c r="UVA33" s="216"/>
      <c r="UVB33" s="216"/>
      <c r="UVC33" s="216"/>
      <c r="UVD33" s="216"/>
      <c r="UVE33" s="216"/>
      <c r="UVF33" s="216"/>
      <c r="UVG33" s="216"/>
      <c r="UVH33" s="216"/>
      <c r="UVI33" s="216"/>
      <c r="UVJ33" s="216"/>
      <c r="UVK33" s="216"/>
      <c r="UVL33" s="216"/>
      <c r="UVM33" s="216"/>
      <c r="UVN33" s="216"/>
      <c r="UVO33" s="216"/>
      <c r="UVP33" s="216"/>
      <c r="UVQ33" s="216"/>
      <c r="UVR33" s="216"/>
      <c r="UVS33" s="216"/>
      <c r="UVT33" s="216"/>
      <c r="UVU33" s="216"/>
      <c r="UVV33" s="216"/>
      <c r="UVW33" s="216"/>
      <c r="UVX33" s="216"/>
      <c r="UVY33" s="216"/>
      <c r="UVZ33" s="216"/>
      <c r="UWA33" s="216"/>
      <c r="UWB33" s="216"/>
      <c r="UWC33" s="216"/>
      <c r="UWD33" s="216"/>
      <c r="UWE33" s="216"/>
      <c r="UWF33" s="216"/>
      <c r="UWG33" s="216"/>
      <c r="UWH33" s="216"/>
      <c r="UWI33" s="216"/>
      <c r="UWJ33" s="216"/>
      <c r="UWK33" s="216"/>
      <c r="UWL33" s="216"/>
      <c r="UWM33" s="216"/>
      <c r="UWN33" s="216"/>
      <c r="UWO33" s="216"/>
      <c r="UWP33" s="216"/>
      <c r="UWQ33" s="216"/>
      <c r="UWR33" s="216"/>
      <c r="UWS33" s="216"/>
      <c r="UWT33" s="216"/>
      <c r="UWU33" s="216"/>
      <c r="UWV33" s="216"/>
      <c r="UWW33" s="216"/>
      <c r="UWX33" s="216"/>
      <c r="UWY33" s="216"/>
      <c r="UWZ33" s="216"/>
      <c r="UXA33" s="216"/>
      <c r="UXB33" s="216"/>
      <c r="UXC33" s="216"/>
      <c r="UXD33" s="216"/>
      <c r="UXE33" s="216"/>
      <c r="UXF33" s="216"/>
      <c r="UXG33" s="216"/>
      <c r="UXH33" s="216"/>
      <c r="UXI33" s="216"/>
      <c r="UXJ33" s="216"/>
      <c r="UXK33" s="216"/>
      <c r="UXL33" s="216"/>
      <c r="UXM33" s="216"/>
      <c r="UXN33" s="216"/>
      <c r="UXO33" s="216"/>
      <c r="UXP33" s="216"/>
      <c r="UXQ33" s="216"/>
      <c r="UXR33" s="216"/>
      <c r="UXS33" s="216"/>
      <c r="UXT33" s="216"/>
      <c r="UXU33" s="216"/>
      <c r="UXV33" s="216"/>
      <c r="UXW33" s="216"/>
      <c r="UXX33" s="216"/>
      <c r="UXY33" s="216"/>
      <c r="UXZ33" s="216"/>
      <c r="UYA33" s="216"/>
      <c r="UYB33" s="216"/>
      <c r="UYC33" s="216"/>
      <c r="UYD33" s="216"/>
      <c r="UYE33" s="216"/>
      <c r="UYF33" s="216"/>
      <c r="UYG33" s="216"/>
      <c r="UYH33" s="216"/>
      <c r="UYI33" s="216"/>
      <c r="UYJ33" s="216"/>
      <c r="UYK33" s="216"/>
      <c r="UYL33" s="216"/>
      <c r="UYM33" s="216"/>
      <c r="UYN33" s="216"/>
      <c r="UYO33" s="216"/>
      <c r="UYP33" s="216"/>
      <c r="UYQ33" s="216"/>
      <c r="UYR33" s="216"/>
      <c r="UYS33" s="216"/>
      <c r="UYT33" s="216"/>
      <c r="UYU33" s="216"/>
      <c r="UYV33" s="216"/>
      <c r="UYW33" s="216"/>
      <c r="UYX33" s="216"/>
      <c r="UYY33" s="216"/>
      <c r="UYZ33" s="216"/>
      <c r="UZA33" s="216"/>
      <c r="UZB33" s="216"/>
      <c r="UZC33" s="216"/>
      <c r="UZD33" s="216"/>
      <c r="UZE33" s="216"/>
      <c r="UZF33" s="216"/>
      <c r="UZG33" s="216"/>
      <c r="UZH33" s="216"/>
      <c r="UZI33" s="216"/>
      <c r="UZJ33" s="216"/>
      <c r="UZK33" s="216"/>
      <c r="UZL33" s="216"/>
      <c r="UZM33" s="216"/>
      <c r="UZN33" s="216"/>
      <c r="UZO33" s="216"/>
      <c r="UZP33" s="216"/>
      <c r="UZQ33" s="216"/>
      <c r="UZR33" s="216"/>
      <c r="UZS33" s="216"/>
      <c r="UZT33" s="216"/>
      <c r="UZU33" s="216"/>
      <c r="UZV33" s="216"/>
      <c r="UZW33" s="216"/>
      <c r="UZX33" s="216"/>
      <c r="UZY33" s="216"/>
      <c r="UZZ33" s="216"/>
      <c r="VAA33" s="216"/>
      <c r="VAB33" s="216"/>
      <c r="VAC33" s="216"/>
      <c r="VAD33" s="216"/>
      <c r="VAE33" s="216"/>
      <c r="VAF33" s="216"/>
      <c r="VAG33" s="216"/>
      <c r="VAH33" s="216"/>
      <c r="VAI33" s="216"/>
      <c r="VAJ33" s="216"/>
      <c r="VAK33" s="216"/>
      <c r="VAL33" s="216"/>
      <c r="VAM33" s="216"/>
      <c r="VAN33" s="216"/>
      <c r="VAO33" s="216"/>
      <c r="VAP33" s="216"/>
      <c r="VAQ33" s="216"/>
      <c r="VAR33" s="216"/>
      <c r="VAS33" s="216"/>
      <c r="VAT33" s="216"/>
      <c r="VAU33" s="216"/>
      <c r="VAV33" s="216"/>
      <c r="VAW33" s="216"/>
      <c r="VAX33" s="216"/>
      <c r="VAY33" s="216"/>
      <c r="VAZ33" s="216"/>
      <c r="VBA33" s="216"/>
      <c r="VBB33" s="216"/>
      <c r="VBC33" s="216"/>
      <c r="VBD33" s="216"/>
      <c r="VBE33" s="216"/>
      <c r="VBF33" s="216"/>
      <c r="VBG33" s="216"/>
      <c r="VBH33" s="216"/>
      <c r="VBI33" s="216"/>
      <c r="VBJ33" s="216"/>
      <c r="VBK33" s="216"/>
      <c r="VBL33" s="216"/>
      <c r="VBM33" s="216"/>
      <c r="VBN33" s="216"/>
      <c r="VBO33" s="216"/>
      <c r="VBP33" s="216"/>
      <c r="VBQ33" s="216"/>
      <c r="VBR33" s="216"/>
      <c r="VBS33" s="216"/>
      <c r="VBT33" s="216"/>
      <c r="VBU33" s="216"/>
      <c r="VBV33" s="216"/>
      <c r="VBW33" s="216"/>
      <c r="VBX33" s="216"/>
      <c r="VBY33" s="216"/>
      <c r="VBZ33" s="216"/>
      <c r="VCA33" s="216"/>
      <c r="VCB33" s="216"/>
      <c r="VCC33" s="216"/>
      <c r="VCD33" s="216"/>
      <c r="VCE33" s="216"/>
      <c r="VCF33" s="216"/>
      <c r="VCG33" s="216"/>
      <c r="VCH33" s="216"/>
      <c r="VCI33" s="216"/>
      <c r="VCJ33" s="216"/>
      <c r="VCK33" s="216"/>
      <c r="VCL33" s="216"/>
      <c r="VCM33" s="216"/>
      <c r="VCN33" s="216"/>
      <c r="VCO33" s="216"/>
      <c r="VCP33" s="216"/>
      <c r="VCQ33" s="216"/>
      <c r="VCR33" s="216"/>
      <c r="VCS33" s="216"/>
      <c r="VCT33" s="216"/>
      <c r="VCU33" s="216"/>
      <c r="VCV33" s="216"/>
      <c r="VCW33" s="216"/>
      <c r="VCX33" s="216"/>
      <c r="VCY33" s="216"/>
      <c r="VCZ33" s="216"/>
      <c r="VDA33" s="216"/>
      <c r="VDB33" s="216"/>
      <c r="VDC33" s="216"/>
      <c r="VDD33" s="216"/>
      <c r="VDE33" s="216"/>
      <c r="VDF33" s="216"/>
      <c r="VDG33" s="216"/>
      <c r="VDH33" s="216"/>
      <c r="VDI33" s="216"/>
      <c r="VDJ33" s="216"/>
      <c r="VDK33" s="216"/>
      <c r="VDL33" s="216"/>
      <c r="VDM33" s="216"/>
      <c r="VDN33" s="216"/>
      <c r="VDO33" s="216"/>
      <c r="VDP33" s="216"/>
      <c r="VDQ33" s="216"/>
      <c r="VDR33" s="216"/>
      <c r="VDS33" s="216"/>
      <c r="VDT33" s="216"/>
      <c r="VDU33" s="216"/>
      <c r="VDV33" s="216"/>
      <c r="VDW33" s="216"/>
      <c r="VDX33" s="216"/>
      <c r="VDY33" s="216"/>
      <c r="VDZ33" s="216"/>
      <c r="VEA33" s="216"/>
      <c r="VEB33" s="216"/>
      <c r="VEC33" s="216"/>
      <c r="VED33" s="216"/>
      <c r="VEE33" s="216"/>
      <c r="VEF33" s="216"/>
      <c r="VEG33" s="216"/>
      <c r="VEH33" s="216"/>
      <c r="VEI33" s="216"/>
      <c r="VEJ33" s="216"/>
      <c r="VEK33" s="216"/>
      <c r="VEL33" s="216"/>
      <c r="VEM33" s="216"/>
      <c r="VEN33" s="216"/>
      <c r="VEO33" s="216"/>
      <c r="VEP33" s="216"/>
      <c r="VEQ33" s="216"/>
      <c r="VER33" s="216"/>
      <c r="VES33" s="216"/>
      <c r="VET33" s="216"/>
      <c r="VEU33" s="216"/>
      <c r="VEV33" s="216"/>
      <c r="VEW33" s="216"/>
      <c r="VEX33" s="216"/>
      <c r="VEY33" s="216"/>
      <c r="VEZ33" s="216"/>
      <c r="VFA33" s="216"/>
      <c r="VFB33" s="216"/>
      <c r="VFC33" s="216"/>
      <c r="VFD33" s="216"/>
      <c r="VFE33" s="216"/>
      <c r="VFF33" s="216"/>
      <c r="VFG33" s="216"/>
      <c r="VFH33" s="216"/>
      <c r="VFI33" s="216"/>
      <c r="VFJ33" s="216"/>
      <c r="VFK33" s="216"/>
      <c r="VFL33" s="216"/>
      <c r="VFM33" s="216"/>
      <c r="VFN33" s="216"/>
      <c r="VFO33" s="216"/>
      <c r="VFP33" s="216"/>
      <c r="VFQ33" s="216"/>
      <c r="VFR33" s="216"/>
      <c r="VFS33" s="216"/>
      <c r="VFT33" s="216"/>
      <c r="VFU33" s="216"/>
      <c r="VFV33" s="216"/>
      <c r="VFW33" s="216"/>
      <c r="VFX33" s="216"/>
      <c r="VFY33" s="216"/>
      <c r="VFZ33" s="216"/>
      <c r="VGA33" s="216"/>
      <c r="VGB33" s="216"/>
      <c r="VGC33" s="216"/>
      <c r="VGD33" s="216"/>
      <c r="VGE33" s="216"/>
      <c r="VGF33" s="216"/>
      <c r="VGG33" s="216"/>
      <c r="VGH33" s="216"/>
      <c r="VGI33" s="216"/>
      <c r="VGJ33" s="216"/>
      <c r="VGK33" s="216"/>
      <c r="VGL33" s="216"/>
      <c r="VGM33" s="216"/>
      <c r="VGN33" s="216"/>
      <c r="VGO33" s="216"/>
      <c r="VGP33" s="216"/>
      <c r="VGQ33" s="216"/>
      <c r="VGR33" s="216"/>
      <c r="VGS33" s="216"/>
      <c r="VGT33" s="216"/>
      <c r="VGU33" s="216"/>
      <c r="VGV33" s="216"/>
      <c r="VGW33" s="216"/>
      <c r="VGX33" s="216"/>
      <c r="VGY33" s="216"/>
      <c r="VGZ33" s="216"/>
      <c r="VHA33" s="216"/>
      <c r="VHB33" s="216"/>
      <c r="VHC33" s="216"/>
      <c r="VHD33" s="216"/>
      <c r="VHE33" s="216"/>
      <c r="VHF33" s="216"/>
      <c r="VHG33" s="216"/>
      <c r="VHH33" s="216"/>
      <c r="VHI33" s="216"/>
      <c r="VHJ33" s="216"/>
      <c r="VHK33" s="216"/>
      <c r="VHL33" s="216"/>
      <c r="VHM33" s="216"/>
      <c r="VHN33" s="216"/>
      <c r="VHO33" s="216"/>
      <c r="VHP33" s="216"/>
      <c r="VHQ33" s="216"/>
      <c r="VHR33" s="216"/>
      <c r="VHS33" s="216"/>
      <c r="VHT33" s="216"/>
      <c r="VHU33" s="216"/>
      <c r="VHV33" s="216"/>
      <c r="VHW33" s="216"/>
      <c r="VHX33" s="216"/>
      <c r="VHY33" s="216"/>
      <c r="VHZ33" s="216"/>
      <c r="VIA33" s="216"/>
      <c r="VIB33" s="216"/>
      <c r="VIC33" s="216"/>
      <c r="VID33" s="216"/>
      <c r="VIE33" s="216"/>
      <c r="VIF33" s="216"/>
      <c r="VIG33" s="216"/>
      <c r="VIH33" s="216"/>
      <c r="VII33" s="216"/>
      <c r="VIJ33" s="216"/>
      <c r="VIK33" s="216"/>
      <c r="VIL33" s="216"/>
      <c r="VIM33" s="216"/>
      <c r="VIN33" s="216"/>
      <c r="VIO33" s="216"/>
      <c r="VIP33" s="216"/>
      <c r="VIQ33" s="216"/>
      <c r="VIR33" s="216"/>
      <c r="VIS33" s="216"/>
      <c r="VIT33" s="216"/>
      <c r="VIU33" s="216"/>
      <c r="VIV33" s="216"/>
      <c r="VIW33" s="216"/>
      <c r="VIX33" s="216"/>
      <c r="VIY33" s="216"/>
      <c r="VIZ33" s="216"/>
      <c r="VJA33" s="216"/>
      <c r="VJB33" s="216"/>
      <c r="VJC33" s="216"/>
      <c r="VJD33" s="216"/>
      <c r="VJE33" s="216"/>
      <c r="VJF33" s="216"/>
      <c r="VJG33" s="216"/>
      <c r="VJH33" s="216"/>
      <c r="VJI33" s="216"/>
      <c r="VJJ33" s="216"/>
      <c r="VJK33" s="216"/>
      <c r="VJL33" s="216"/>
      <c r="VJM33" s="216"/>
      <c r="VJN33" s="216"/>
      <c r="VJO33" s="216"/>
      <c r="VJP33" s="216"/>
      <c r="VJQ33" s="216"/>
      <c r="VJR33" s="216"/>
      <c r="VJS33" s="216"/>
      <c r="VJT33" s="216"/>
      <c r="VJU33" s="216"/>
      <c r="VJV33" s="216"/>
      <c r="VJW33" s="216"/>
      <c r="VJX33" s="216"/>
      <c r="VJY33" s="216"/>
      <c r="VJZ33" s="216"/>
      <c r="VKA33" s="216"/>
      <c r="VKB33" s="216"/>
      <c r="VKC33" s="216"/>
      <c r="VKD33" s="216"/>
      <c r="VKE33" s="216"/>
      <c r="VKF33" s="216"/>
      <c r="VKG33" s="216"/>
      <c r="VKH33" s="216"/>
      <c r="VKI33" s="216"/>
      <c r="VKJ33" s="216"/>
      <c r="VKK33" s="216"/>
      <c r="VKL33" s="216"/>
      <c r="VKM33" s="216"/>
      <c r="VKN33" s="216"/>
      <c r="VKO33" s="216"/>
      <c r="VKP33" s="216"/>
      <c r="VKQ33" s="216"/>
      <c r="VKR33" s="216"/>
      <c r="VKS33" s="216"/>
      <c r="VKT33" s="216"/>
      <c r="VKU33" s="216"/>
      <c r="VKV33" s="216"/>
      <c r="VKW33" s="216"/>
      <c r="VKX33" s="216"/>
      <c r="VKY33" s="216"/>
      <c r="VKZ33" s="216"/>
      <c r="VLA33" s="216"/>
      <c r="VLB33" s="216"/>
      <c r="VLC33" s="216"/>
      <c r="VLD33" s="216"/>
      <c r="VLE33" s="216"/>
      <c r="VLF33" s="216"/>
      <c r="VLG33" s="216"/>
      <c r="VLH33" s="216"/>
      <c r="VLI33" s="216"/>
      <c r="VLJ33" s="216"/>
      <c r="VLK33" s="216"/>
      <c r="VLL33" s="216"/>
      <c r="VLM33" s="216"/>
      <c r="VLN33" s="216"/>
      <c r="VLO33" s="216"/>
      <c r="VLP33" s="216"/>
      <c r="VLQ33" s="216"/>
      <c r="VLR33" s="216"/>
      <c r="VLS33" s="216"/>
      <c r="VLT33" s="216"/>
      <c r="VLU33" s="216"/>
      <c r="VLV33" s="216"/>
      <c r="VLW33" s="216"/>
      <c r="VLX33" s="216"/>
      <c r="VLY33" s="216"/>
      <c r="VLZ33" s="216"/>
      <c r="VMA33" s="216"/>
      <c r="VMB33" s="216"/>
      <c r="VMC33" s="216"/>
      <c r="VMD33" s="216"/>
      <c r="VME33" s="216"/>
      <c r="VMF33" s="216"/>
      <c r="VMG33" s="216"/>
      <c r="VMH33" s="216"/>
      <c r="VMI33" s="216"/>
      <c r="VMJ33" s="216"/>
      <c r="VMK33" s="216"/>
      <c r="VML33" s="216"/>
      <c r="VMM33" s="216"/>
      <c r="VMN33" s="216"/>
      <c r="VMO33" s="216"/>
      <c r="VMP33" s="216"/>
      <c r="VMQ33" s="216"/>
      <c r="VMR33" s="216"/>
      <c r="VMS33" s="216"/>
      <c r="VMT33" s="216"/>
      <c r="VMU33" s="216"/>
      <c r="VMV33" s="216"/>
      <c r="VMW33" s="216"/>
      <c r="VMX33" s="216"/>
      <c r="VMY33" s="216"/>
      <c r="VMZ33" s="216"/>
      <c r="VNA33" s="216"/>
      <c r="VNB33" s="216"/>
      <c r="VNC33" s="216"/>
      <c r="VND33" s="216"/>
      <c r="VNE33" s="216"/>
      <c r="VNF33" s="216"/>
      <c r="VNG33" s="216"/>
      <c r="VNH33" s="216"/>
      <c r="VNI33" s="216"/>
      <c r="VNJ33" s="216"/>
      <c r="VNK33" s="216"/>
      <c r="VNL33" s="216"/>
      <c r="VNM33" s="216"/>
      <c r="VNN33" s="216"/>
      <c r="VNO33" s="216"/>
      <c r="VNP33" s="216"/>
      <c r="VNQ33" s="216"/>
      <c r="VNR33" s="216"/>
      <c r="VNS33" s="216"/>
      <c r="VNT33" s="216"/>
      <c r="VNU33" s="216"/>
      <c r="VNV33" s="216"/>
      <c r="VNW33" s="216"/>
      <c r="VNX33" s="216"/>
      <c r="VNY33" s="216"/>
      <c r="VNZ33" s="216"/>
      <c r="VOA33" s="216"/>
      <c r="VOB33" s="216"/>
      <c r="VOC33" s="216"/>
      <c r="VOD33" s="216"/>
      <c r="VOE33" s="216"/>
      <c r="VOF33" s="216"/>
      <c r="VOG33" s="216"/>
      <c r="VOH33" s="216"/>
      <c r="VOI33" s="216"/>
      <c r="VOJ33" s="216"/>
      <c r="VOK33" s="216"/>
      <c r="VOL33" s="216"/>
      <c r="VOM33" s="216"/>
      <c r="VON33" s="216"/>
      <c r="VOO33" s="216"/>
      <c r="VOP33" s="216"/>
      <c r="VOQ33" s="216"/>
      <c r="VOR33" s="216"/>
      <c r="VOS33" s="216"/>
      <c r="VOT33" s="216"/>
      <c r="VOU33" s="216"/>
      <c r="VOV33" s="216"/>
      <c r="VOW33" s="216"/>
      <c r="VOX33" s="216"/>
      <c r="VOY33" s="216"/>
      <c r="VOZ33" s="216"/>
      <c r="VPA33" s="216"/>
      <c r="VPB33" s="216"/>
      <c r="VPC33" s="216"/>
      <c r="VPD33" s="216"/>
      <c r="VPE33" s="216"/>
      <c r="VPF33" s="216"/>
      <c r="VPG33" s="216"/>
      <c r="VPH33" s="216"/>
      <c r="VPI33" s="216"/>
      <c r="VPJ33" s="216"/>
      <c r="VPK33" s="216"/>
      <c r="VPL33" s="216"/>
      <c r="VPM33" s="216"/>
      <c r="VPN33" s="216"/>
      <c r="VPO33" s="216"/>
      <c r="VPP33" s="216"/>
      <c r="VPQ33" s="216"/>
      <c r="VPR33" s="216"/>
      <c r="VPS33" s="216"/>
      <c r="VPT33" s="216"/>
      <c r="VPU33" s="216"/>
      <c r="VPV33" s="216"/>
      <c r="VPW33" s="216"/>
      <c r="VPX33" s="216"/>
      <c r="VPY33" s="216"/>
      <c r="VPZ33" s="216"/>
      <c r="VQA33" s="216"/>
      <c r="VQB33" s="216"/>
      <c r="VQC33" s="216"/>
      <c r="VQD33" s="216"/>
      <c r="VQE33" s="216"/>
      <c r="VQF33" s="216"/>
      <c r="VQG33" s="216"/>
      <c r="VQH33" s="216"/>
      <c r="VQI33" s="216"/>
      <c r="VQJ33" s="216"/>
      <c r="VQK33" s="216"/>
      <c r="VQL33" s="216"/>
      <c r="VQM33" s="216"/>
      <c r="VQN33" s="216"/>
      <c r="VQO33" s="216"/>
      <c r="VQP33" s="216"/>
      <c r="VQQ33" s="216"/>
      <c r="VQR33" s="216"/>
      <c r="VQS33" s="216"/>
      <c r="VQT33" s="216"/>
      <c r="VQU33" s="216"/>
      <c r="VQV33" s="216"/>
      <c r="VQW33" s="216"/>
      <c r="VQX33" s="216"/>
      <c r="VQY33" s="216"/>
      <c r="VQZ33" s="216"/>
      <c r="VRA33" s="216"/>
      <c r="VRB33" s="216"/>
      <c r="VRC33" s="216"/>
      <c r="VRD33" s="216"/>
      <c r="VRE33" s="216"/>
      <c r="VRF33" s="216"/>
      <c r="VRG33" s="216"/>
      <c r="VRH33" s="216"/>
      <c r="VRI33" s="216"/>
      <c r="VRJ33" s="216"/>
      <c r="VRK33" s="216"/>
      <c r="VRL33" s="216"/>
      <c r="VRM33" s="216"/>
      <c r="VRN33" s="216"/>
      <c r="VRO33" s="216"/>
      <c r="VRP33" s="216"/>
      <c r="VRQ33" s="216"/>
      <c r="VRR33" s="216"/>
      <c r="VRS33" s="216"/>
      <c r="VRT33" s="216"/>
      <c r="VRU33" s="216"/>
      <c r="VRV33" s="216"/>
      <c r="VRW33" s="216"/>
      <c r="VRX33" s="216"/>
      <c r="VRY33" s="216"/>
      <c r="VRZ33" s="216"/>
      <c r="VSA33" s="216"/>
      <c r="VSB33" s="216"/>
      <c r="VSC33" s="216"/>
      <c r="VSD33" s="216"/>
      <c r="VSE33" s="216"/>
      <c r="VSF33" s="216"/>
      <c r="VSG33" s="216"/>
      <c r="VSH33" s="216"/>
      <c r="VSI33" s="216"/>
      <c r="VSJ33" s="216"/>
      <c r="VSK33" s="216"/>
      <c r="VSL33" s="216"/>
      <c r="VSM33" s="216"/>
      <c r="VSN33" s="216"/>
      <c r="VSO33" s="216"/>
      <c r="VSP33" s="216"/>
      <c r="VSQ33" s="216"/>
      <c r="VSR33" s="216"/>
      <c r="VSS33" s="216"/>
      <c r="VST33" s="216"/>
      <c r="VSU33" s="216"/>
      <c r="VSV33" s="216"/>
      <c r="VSW33" s="216"/>
      <c r="VSX33" s="216"/>
      <c r="VSY33" s="216"/>
      <c r="VSZ33" s="216"/>
      <c r="VTA33" s="216"/>
      <c r="VTB33" s="216"/>
      <c r="VTC33" s="216"/>
      <c r="VTD33" s="216"/>
      <c r="VTE33" s="216"/>
      <c r="VTF33" s="216"/>
      <c r="VTG33" s="216"/>
      <c r="VTH33" s="216"/>
      <c r="VTI33" s="216"/>
      <c r="VTJ33" s="216"/>
      <c r="VTK33" s="216"/>
      <c r="VTL33" s="216"/>
      <c r="VTM33" s="216"/>
      <c r="VTN33" s="216"/>
      <c r="VTO33" s="216"/>
      <c r="VTP33" s="216"/>
      <c r="VTQ33" s="216"/>
      <c r="VTR33" s="216"/>
      <c r="VTS33" s="216"/>
      <c r="VTT33" s="216"/>
      <c r="VTU33" s="216"/>
      <c r="VTV33" s="216"/>
      <c r="VTW33" s="216"/>
      <c r="VTX33" s="216"/>
      <c r="VTY33" s="216"/>
      <c r="VTZ33" s="216"/>
      <c r="VUA33" s="216"/>
      <c r="VUB33" s="216"/>
      <c r="VUC33" s="216"/>
      <c r="VUD33" s="216"/>
      <c r="VUE33" s="216"/>
      <c r="VUF33" s="216"/>
      <c r="VUG33" s="216"/>
      <c r="VUH33" s="216"/>
      <c r="VUI33" s="216"/>
      <c r="VUJ33" s="216"/>
      <c r="VUK33" s="216"/>
      <c r="VUL33" s="216"/>
      <c r="VUM33" s="216"/>
      <c r="VUN33" s="216"/>
      <c r="VUO33" s="216"/>
      <c r="VUP33" s="216"/>
      <c r="VUQ33" s="216"/>
      <c r="VUR33" s="216"/>
      <c r="VUS33" s="216"/>
      <c r="VUT33" s="216"/>
      <c r="VUU33" s="216"/>
      <c r="VUV33" s="216"/>
      <c r="VUW33" s="216"/>
      <c r="VUX33" s="216"/>
      <c r="VUY33" s="216"/>
      <c r="VUZ33" s="216"/>
      <c r="VVA33" s="216"/>
      <c r="VVB33" s="216"/>
      <c r="VVC33" s="216"/>
      <c r="VVD33" s="216"/>
      <c r="VVE33" s="216"/>
      <c r="VVF33" s="216"/>
      <c r="VVG33" s="216"/>
      <c r="VVH33" s="216"/>
      <c r="VVI33" s="216"/>
      <c r="VVJ33" s="216"/>
      <c r="VVK33" s="216"/>
      <c r="VVL33" s="216"/>
      <c r="VVM33" s="216"/>
      <c r="VVN33" s="216"/>
      <c r="VVO33" s="216"/>
      <c r="VVP33" s="216"/>
      <c r="VVQ33" s="216"/>
      <c r="VVR33" s="216"/>
      <c r="VVS33" s="216"/>
      <c r="VVT33" s="216"/>
      <c r="VVU33" s="216"/>
      <c r="VVV33" s="216"/>
      <c r="VVW33" s="216"/>
      <c r="VVX33" s="216"/>
      <c r="VVY33" s="216"/>
      <c r="VVZ33" s="216"/>
      <c r="VWA33" s="216"/>
      <c r="VWB33" s="216"/>
      <c r="VWC33" s="216"/>
      <c r="VWD33" s="216"/>
      <c r="VWE33" s="216"/>
      <c r="VWF33" s="216"/>
      <c r="VWG33" s="216"/>
      <c r="VWH33" s="216"/>
      <c r="VWI33" s="216"/>
      <c r="VWJ33" s="216"/>
      <c r="VWK33" s="216"/>
      <c r="VWL33" s="216"/>
      <c r="VWM33" s="216"/>
      <c r="VWN33" s="216"/>
      <c r="VWO33" s="216"/>
      <c r="VWP33" s="216"/>
      <c r="VWQ33" s="216"/>
      <c r="VWR33" s="216"/>
      <c r="VWS33" s="216"/>
      <c r="VWT33" s="216"/>
      <c r="VWU33" s="216"/>
      <c r="VWV33" s="216"/>
      <c r="VWW33" s="216"/>
      <c r="VWX33" s="216"/>
      <c r="VWY33" s="216"/>
      <c r="VWZ33" s="216"/>
      <c r="VXA33" s="216"/>
      <c r="VXB33" s="216"/>
      <c r="VXC33" s="216"/>
      <c r="VXD33" s="216"/>
      <c r="VXE33" s="216"/>
      <c r="VXF33" s="216"/>
      <c r="VXG33" s="216"/>
      <c r="VXH33" s="216"/>
      <c r="VXI33" s="216"/>
      <c r="VXJ33" s="216"/>
      <c r="VXK33" s="216"/>
      <c r="VXL33" s="216"/>
      <c r="VXM33" s="216"/>
      <c r="VXN33" s="216"/>
      <c r="VXO33" s="216"/>
      <c r="VXP33" s="216"/>
      <c r="VXQ33" s="216"/>
      <c r="VXR33" s="216"/>
      <c r="VXS33" s="216"/>
      <c r="VXT33" s="216"/>
      <c r="VXU33" s="216"/>
      <c r="VXV33" s="216"/>
      <c r="VXW33" s="216"/>
      <c r="VXX33" s="216"/>
      <c r="VXY33" s="216"/>
      <c r="VXZ33" s="216"/>
      <c r="VYA33" s="216"/>
      <c r="VYB33" s="216"/>
      <c r="VYC33" s="216"/>
      <c r="VYD33" s="216"/>
      <c r="VYE33" s="216"/>
      <c r="VYF33" s="216"/>
      <c r="VYG33" s="216"/>
      <c r="VYH33" s="216"/>
      <c r="VYI33" s="216"/>
      <c r="VYJ33" s="216"/>
      <c r="VYK33" s="216"/>
      <c r="VYL33" s="216"/>
      <c r="VYM33" s="216"/>
      <c r="VYN33" s="216"/>
      <c r="VYO33" s="216"/>
      <c r="VYP33" s="216"/>
      <c r="VYQ33" s="216"/>
      <c r="VYR33" s="216"/>
      <c r="VYS33" s="216"/>
      <c r="VYT33" s="216"/>
      <c r="VYU33" s="216"/>
      <c r="VYV33" s="216"/>
      <c r="VYW33" s="216"/>
      <c r="VYX33" s="216"/>
      <c r="VYY33" s="216"/>
      <c r="VYZ33" s="216"/>
      <c r="VZA33" s="216"/>
      <c r="VZB33" s="216"/>
      <c r="VZC33" s="216"/>
      <c r="VZD33" s="216"/>
      <c r="VZE33" s="216"/>
      <c r="VZF33" s="216"/>
      <c r="VZG33" s="216"/>
      <c r="VZH33" s="216"/>
      <c r="VZI33" s="216"/>
      <c r="VZJ33" s="216"/>
      <c r="VZK33" s="216"/>
      <c r="VZL33" s="216"/>
      <c r="VZM33" s="216"/>
      <c r="VZN33" s="216"/>
      <c r="VZO33" s="216"/>
      <c r="VZP33" s="216"/>
      <c r="VZQ33" s="216"/>
      <c r="VZR33" s="216"/>
      <c r="VZS33" s="216"/>
      <c r="VZT33" s="216"/>
      <c r="VZU33" s="216"/>
      <c r="VZV33" s="216"/>
      <c r="VZW33" s="216"/>
      <c r="VZX33" s="216"/>
      <c r="VZY33" s="216"/>
      <c r="VZZ33" s="216"/>
      <c r="WAA33" s="216"/>
      <c r="WAB33" s="216"/>
      <c r="WAC33" s="216"/>
      <c r="WAD33" s="216"/>
      <c r="WAE33" s="216"/>
      <c r="WAF33" s="216"/>
      <c r="WAG33" s="216"/>
      <c r="WAH33" s="216"/>
      <c r="WAI33" s="216"/>
      <c r="WAJ33" s="216"/>
      <c r="WAK33" s="216"/>
      <c r="WAL33" s="216"/>
      <c r="WAM33" s="216"/>
      <c r="WAN33" s="216"/>
      <c r="WAO33" s="216"/>
      <c r="WAP33" s="216"/>
      <c r="WAQ33" s="216"/>
      <c r="WAR33" s="216"/>
      <c r="WAS33" s="216"/>
      <c r="WAT33" s="216"/>
      <c r="WAU33" s="216"/>
      <c r="WAV33" s="216"/>
      <c r="WAW33" s="216"/>
      <c r="WAX33" s="216"/>
      <c r="WAY33" s="216"/>
      <c r="WAZ33" s="216"/>
      <c r="WBA33" s="216"/>
      <c r="WBB33" s="216"/>
      <c r="WBC33" s="216"/>
      <c r="WBD33" s="216"/>
      <c r="WBE33" s="216"/>
      <c r="WBF33" s="216"/>
      <c r="WBG33" s="216"/>
      <c r="WBH33" s="216"/>
      <c r="WBI33" s="216"/>
      <c r="WBJ33" s="216"/>
      <c r="WBK33" s="216"/>
      <c r="WBL33" s="216"/>
      <c r="WBM33" s="216"/>
      <c r="WBN33" s="216"/>
      <c r="WBO33" s="216"/>
      <c r="WBP33" s="216"/>
      <c r="WBQ33" s="216"/>
      <c r="WBR33" s="216"/>
      <c r="WBS33" s="216"/>
      <c r="WBT33" s="216"/>
      <c r="WBU33" s="216"/>
      <c r="WBV33" s="216"/>
      <c r="WBW33" s="216"/>
      <c r="WBX33" s="216"/>
      <c r="WBY33" s="216"/>
      <c r="WBZ33" s="216"/>
      <c r="WCA33" s="216"/>
      <c r="WCB33" s="216"/>
      <c r="WCC33" s="216"/>
      <c r="WCD33" s="216"/>
      <c r="WCE33" s="216"/>
      <c r="WCF33" s="216"/>
      <c r="WCG33" s="216"/>
      <c r="WCH33" s="216"/>
      <c r="WCI33" s="216"/>
      <c r="WCJ33" s="216"/>
      <c r="WCK33" s="216"/>
      <c r="WCL33" s="216"/>
      <c r="WCM33" s="216"/>
      <c r="WCN33" s="216"/>
      <c r="WCO33" s="216"/>
      <c r="WCP33" s="216"/>
      <c r="WCQ33" s="216"/>
      <c r="WCR33" s="216"/>
      <c r="WCS33" s="216"/>
      <c r="WCT33" s="216"/>
      <c r="WCU33" s="216"/>
      <c r="WCV33" s="216"/>
      <c r="WCW33" s="216"/>
      <c r="WCX33" s="216"/>
      <c r="WCY33" s="216"/>
      <c r="WCZ33" s="216"/>
      <c r="WDA33" s="216"/>
      <c r="WDB33" s="216"/>
      <c r="WDC33" s="216"/>
      <c r="WDD33" s="216"/>
      <c r="WDE33" s="216"/>
      <c r="WDF33" s="216"/>
      <c r="WDG33" s="216"/>
      <c r="WDH33" s="216"/>
      <c r="WDI33" s="216"/>
      <c r="WDJ33" s="216"/>
      <c r="WDK33" s="216"/>
      <c r="WDL33" s="216"/>
      <c r="WDM33" s="216"/>
      <c r="WDN33" s="216"/>
      <c r="WDO33" s="216"/>
      <c r="WDP33" s="216"/>
      <c r="WDQ33" s="216"/>
      <c r="WDR33" s="216"/>
      <c r="WDS33" s="216"/>
      <c r="WDT33" s="216"/>
      <c r="WDU33" s="216"/>
      <c r="WDV33" s="216"/>
      <c r="WDW33" s="216"/>
      <c r="WDX33" s="216"/>
      <c r="WDY33" s="216"/>
      <c r="WDZ33" s="216"/>
      <c r="WEA33" s="216"/>
      <c r="WEB33" s="216"/>
      <c r="WEC33" s="216"/>
      <c r="WED33" s="216"/>
      <c r="WEE33" s="216"/>
      <c r="WEF33" s="216"/>
      <c r="WEG33" s="216"/>
      <c r="WEH33" s="216"/>
      <c r="WEI33" s="216"/>
      <c r="WEJ33" s="216"/>
      <c r="WEK33" s="216"/>
      <c r="WEL33" s="216"/>
      <c r="WEM33" s="216"/>
      <c r="WEN33" s="216"/>
      <c r="WEO33" s="216"/>
      <c r="WEP33" s="216"/>
      <c r="WEQ33" s="216"/>
      <c r="WER33" s="216"/>
      <c r="WES33" s="216"/>
      <c r="WET33" s="216"/>
      <c r="WEU33" s="216"/>
      <c r="WEV33" s="216"/>
      <c r="WEW33" s="216"/>
      <c r="WEX33" s="216"/>
      <c r="WEY33" s="216"/>
      <c r="WEZ33" s="216"/>
      <c r="WFA33" s="216"/>
      <c r="WFB33" s="216"/>
      <c r="WFC33" s="216"/>
      <c r="WFD33" s="216"/>
      <c r="WFE33" s="216"/>
      <c r="WFF33" s="216"/>
      <c r="WFG33" s="216"/>
      <c r="WFH33" s="216"/>
      <c r="WFI33" s="216"/>
      <c r="WFJ33" s="216"/>
      <c r="WFK33" s="216"/>
      <c r="WFL33" s="216"/>
      <c r="WFM33" s="216"/>
      <c r="WFN33" s="216"/>
      <c r="WFO33" s="216"/>
      <c r="WFP33" s="216"/>
      <c r="WFQ33" s="216"/>
      <c r="WFR33" s="216"/>
      <c r="WFS33" s="216"/>
      <c r="WFT33" s="216"/>
      <c r="WFU33" s="216"/>
      <c r="WFV33" s="216"/>
      <c r="WFW33" s="216"/>
      <c r="WFX33" s="216"/>
      <c r="WFY33" s="216"/>
      <c r="WFZ33" s="216"/>
      <c r="WGA33" s="216"/>
      <c r="WGB33" s="216"/>
      <c r="WGC33" s="216"/>
      <c r="WGD33" s="216"/>
      <c r="WGE33" s="216"/>
      <c r="WGF33" s="216"/>
      <c r="WGG33" s="216"/>
      <c r="WGH33" s="216"/>
      <c r="WGI33" s="216"/>
      <c r="WGJ33" s="216"/>
      <c r="WGK33" s="216"/>
      <c r="WGL33" s="216"/>
      <c r="WGM33" s="216"/>
      <c r="WGN33" s="216"/>
      <c r="WGO33" s="216"/>
      <c r="WGP33" s="216"/>
      <c r="WGQ33" s="216"/>
      <c r="WGR33" s="216"/>
      <c r="WGS33" s="216"/>
      <c r="WGT33" s="216"/>
      <c r="WGU33" s="216"/>
      <c r="WGV33" s="216"/>
      <c r="WGW33" s="216"/>
      <c r="WGX33" s="216"/>
      <c r="WGY33" s="216"/>
      <c r="WGZ33" s="216"/>
      <c r="WHA33" s="216"/>
      <c r="WHB33" s="216"/>
      <c r="WHC33" s="216"/>
      <c r="WHD33" s="216"/>
      <c r="WHE33" s="216"/>
      <c r="WHF33" s="216"/>
      <c r="WHG33" s="216"/>
      <c r="WHH33" s="216"/>
      <c r="WHI33" s="216"/>
      <c r="WHJ33" s="216"/>
      <c r="WHK33" s="216"/>
      <c r="WHL33" s="216"/>
      <c r="WHM33" s="216"/>
      <c r="WHN33" s="216"/>
      <c r="WHO33" s="216"/>
      <c r="WHP33" s="216"/>
      <c r="WHQ33" s="216"/>
      <c r="WHR33" s="216"/>
      <c r="WHS33" s="216"/>
      <c r="WHT33" s="216"/>
      <c r="WHU33" s="216"/>
      <c r="WHV33" s="216"/>
      <c r="WHW33" s="216"/>
      <c r="WHX33" s="216"/>
      <c r="WHY33" s="216"/>
      <c r="WHZ33" s="216"/>
      <c r="WIA33" s="216"/>
      <c r="WIB33" s="216"/>
      <c r="WIC33" s="216"/>
      <c r="WID33" s="216"/>
      <c r="WIE33" s="216"/>
      <c r="WIF33" s="216"/>
      <c r="WIG33" s="216"/>
      <c r="WIH33" s="216"/>
      <c r="WII33" s="216"/>
      <c r="WIJ33" s="216"/>
      <c r="WIK33" s="216"/>
      <c r="WIL33" s="216"/>
      <c r="WIM33" s="216"/>
      <c r="WIN33" s="216"/>
      <c r="WIO33" s="216"/>
      <c r="WIP33" s="216"/>
      <c r="WIQ33" s="216"/>
      <c r="WIR33" s="216"/>
      <c r="WIS33" s="216"/>
      <c r="WIT33" s="216"/>
      <c r="WIU33" s="216"/>
      <c r="WIV33" s="216"/>
      <c r="WIW33" s="216"/>
      <c r="WIX33" s="216"/>
      <c r="WIY33" s="216"/>
      <c r="WIZ33" s="216"/>
      <c r="WJA33" s="216"/>
      <c r="WJB33" s="216"/>
      <c r="WJC33" s="216"/>
      <c r="WJD33" s="216"/>
      <c r="WJE33" s="216"/>
      <c r="WJF33" s="216"/>
      <c r="WJG33" s="216"/>
      <c r="WJH33" s="216"/>
      <c r="WJI33" s="216"/>
      <c r="WJJ33" s="216"/>
      <c r="WJK33" s="216"/>
      <c r="WJL33" s="216"/>
      <c r="WJM33" s="216"/>
      <c r="WJN33" s="216"/>
      <c r="WJO33" s="216"/>
      <c r="WJP33" s="216"/>
      <c r="WJQ33" s="216"/>
      <c r="WJR33" s="216"/>
      <c r="WJS33" s="216"/>
      <c r="WJT33" s="216"/>
      <c r="WJU33" s="216"/>
      <c r="WJV33" s="216"/>
      <c r="WJW33" s="216"/>
      <c r="WJX33" s="216"/>
      <c r="WJY33" s="216"/>
      <c r="WJZ33" s="216"/>
      <c r="WKA33" s="216"/>
      <c r="WKB33" s="216"/>
      <c r="WKC33" s="216"/>
      <c r="WKD33" s="216"/>
      <c r="WKE33" s="216"/>
      <c r="WKF33" s="216"/>
      <c r="WKG33" s="216"/>
      <c r="WKH33" s="216"/>
      <c r="WKI33" s="216"/>
      <c r="WKJ33" s="216"/>
      <c r="WKK33" s="216"/>
      <c r="WKL33" s="216"/>
      <c r="WKM33" s="216"/>
      <c r="WKN33" s="216"/>
      <c r="WKO33" s="216"/>
      <c r="WKP33" s="216"/>
      <c r="WKQ33" s="216"/>
      <c r="WKR33" s="216"/>
      <c r="WKS33" s="216"/>
      <c r="WKT33" s="216"/>
      <c r="WKU33" s="216"/>
      <c r="WKV33" s="216"/>
      <c r="WKW33" s="216"/>
      <c r="WKX33" s="216"/>
      <c r="WKY33" s="216"/>
      <c r="WKZ33" s="216"/>
      <c r="WLA33" s="216"/>
      <c r="WLB33" s="216"/>
      <c r="WLC33" s="216"/>
      <c r="WLD33" s="216"/>
      <c r="WLE33" s="216"/>
      <c r="WLF33" s="216"/>
      <c r="WLG33" s="216"/>
      <c r="WLH33" s="216"/>
      <c r="WLI33" s="216"/>
      <c r="WLJ33" s="216"/>
      <c r="WLK33" s="216"/>
      <c r="WLL33" s="216"/>
      <c r="WLM33" s="216"/>
      <c r="WLN33" s="216"/>
      <c r="WLO33" s="216"/>
      <c r="WLP33" s="216"/>
      <c r="WLQ33" s="216"/>
      <c r="WLR33" s="216"/>
      <c r="WLS33" s="216"/>
      <c r="WLT33" s="216"/>
      <c r="WLU33" s="216"/>
      <c r="WLV33" s="216"/>
      <c r="WLW33" s="216"/>
      <c r="WLX33" s="216"/>
      <c r="WLY33" s="216"/>
      <c r="WLZ33" s="216"/>
      <c r="WMA33" s="216"/>
      <c r="WMB33" s="216"/>
      <c r="WMC33" s="216"/>
      <c r="WMD33" s="216"/>
      <c r="WME33" s="216"/>
      <c r="WMF33" s="216"/>
      <c r="WMG33" s="216"/>
      <c r="WMH33" s="216"/>
      <c r="WMI33" s="216"/>
      <c r="WMJ33" s="216"/>
      <c r="WMK33" s="216"/>
      <c r="WML33" s="216"/>
      <c r="WMM33" s="216"/>
      <c r="WMN33" s="216"/>
      <c r="WMO33" s="216"/>
      <c r="WMP33" s="216"/>
      <c r="WMQ33" s="216"/>
      <c r="WMR33" s="216"/>
      <c r="WMS33" s="216"/>
      <c r="WMT33" s="216"/>
      <c r="WMU33" s="216"/>
      <c r="WMV33" s="216"/>
      <c r="WMW33" s="216"/>
      <c r="WMX33" s="216"/>
      <c r="WMY33" s="216"/>
      <c r="WMZ33" s="216"/>
      <c r="WNA33" s="216"/>
      <c r="WNB33" s="216"/>
      <c r="WNC33" s="216"/>
      <c r="WND33" s="216"/>
      <c r="WNE33" s="216"/>
      <c r="WNF33" s="216"/>
      <c r="WNG33" s="216"/>
      <c r="WNH33" s="216"/>
      <c r="WNI33" s="216"/>
      <c r="WNJ33" s="216"/>
      <c r="WNK33" s="216"/>
      <c r="WNL33" s="216"/>
      <c r="WNM33" s="216"/>
      <c r="WNN33" s="216"/>
      <c r="WNO33" s="216"/>
      <c r="WNP33" s="216"/>
      <c r="WNQ33" s="216"/>
      <c r="WNR33" s="216"/>
      <c r="WNS33" s="216"/>
      <c r="WNT33" s="216"/>
      <c r="WNU33" s="216"/>
      <c r="WNV33" s="216"/>
      <c r="WNW33" s="216"/>
      <c r="WNX33" s="216"/>
      <c r="WNY33" s="216"/>
      <c r="WNZ33" s="216"/>
      <c r="WOA33" s="216"/>
      <c r="WOB33" s="216"/>
      <c r="WOC33" s="216"/>
      <c r="WOD33" s="216"/>
      <c r="WOE33" s="216"/>
      <c r="WOF33" s="216"/>
      <c r="WOG33" s="216"/>
      <c r="WOH33" s="216"/>
      <c r="WOI33" s="216"/>
      <c r="WOJ33" s="216"/>
      <c r="WOK33" s="216"/>
      <c r="WOL33" s="216"/>
      <c r="WOM33" s="216"/>
      <c r="WON33" s="216"/>
      <c r="WOO33" s="216"/>
      <c r="WOP33" s="216"/>
      <c r="WOQ33" s="216"/>
      <c r="WOR33" s="216"/>
      <c r="WOS33" s="216"/>
      <c r="WOT33" s="216"/>
      <c r="WOU33" s="216"/>
      <c r="WOV33" s="216"/>
      <c r="WOW33" s="216"/>
      <c r="WOX33" s="216"/>
      <c r="WOY33" s="216"/>
      <c r="WOZ33" s="216"/>
      <c r="WPA33" s="216"/>
      <c r="WPB33" s="216"/>
      <c r="WPC33" s="216"/>
      <c r="WPD33" s="216"/>
      <c r="WPE33" s="216"/>
      <c r="WPF33" s="216"/>
      <c r="WPG33" s="216"/>
      <c r="WPH33" s="216"/>
      <c r="WPI33" s="216"/>
      <c r="WPJ33" s="216"/>
      <c r="WPK33" s="216"/>
      <c r="WPL33" s="216"/>
      <c r="WPM33" s="216"/>
      <c r="WPN33" s="216"/>
      <c r="WPO33" s="216"/>
      <c r="WPP33" s="216"/>
      <c r="WPQ33" s="216"/>
      <c r="WPR33" s="216"/>
      <c r="WPS33" s="216"/>
      <c r="WPT33" s="216"/>
      <c r="WPU33" s="216"/>
      <c r="WPV33" s="216"/>
      <c r="WPW33" s="216"/>
      <c r="WPX33" s="216"/>
      <c r="WPY33" s="216"/>
      <c r="WPZ33" s="216"/>
      <c r="WQA33" s="216"/>
      <c r="WQB33" s="216"/>
      <c r="WQC33" s="216"/>
      <c r="WQD33" s="216"/>
      <c r="WQE33" s="216"/>
      <c r="WQF33" s="216"/>
      <c r="WQG33" s="216"/>
      <c r="WQH33" s="216"/>
      <c r="WQI33" s="216"/>
      <c r="WQJ33" s="216"/>
      <c r="WQK33" s="216"/>
      <c r="WQL33" s="216"/>
      <c r="WQM33" s="216"/>
      <c r="WQN33" s="216"/>
      <c r="WQO33" s="216"/>
      <c r="WQP33" s="216"/>
      <c r="WQQ33" s="216"/>
      <c r="WQR33" s="216"/>
      <c r="WQS33" s="216"/>
      <c r="WQT33" s="216"/>
      <c r="WQU33" s="216"/>
      <c r="WQV33" s="216"/>
      <c r="WQW33" s="216"/>
      <c r="WQX33" s="216"/>
      <c r="WQY33" s="216"/>
      <c r="WQZ33" s="216"/>
      <c r="WRA33" s="216"/>
      <c r="WRB33" s="216"/>
      <c r="WRC33" s="216"/>
      <c r="WRD33" s="216"/>
      <c r="WRE33" s="216"/>
      <c r="WRF33" s="216"/>
      <c r="WRG33" s="216"/>
      <c r="WRH33" s="216"/>
      <c r="WRI33" s="216"/>
      <c r="WRJ33" s="216"/>
      <c r="WRK33" s="216"/>
      <c r="WRL33" s="216"/>
      <c r="WRM33" s="216"/>
      <c r="WRN33" s="216"/>
      <c r="WRO33" s="216"/>
      <c r="WRP33" s="216"/>
      <c r="WRQ33" s="216"/>
      <c r="WRR33" s="216"/>
      <c r="WRS33" s="216"/>
      <c r="WRT33" s="216"/>
      <c r="WRU33" s="216"/>
      <c r="WRV33" s="216"/>
      <c r="WRW33" s="216"/>
      <c r="WRX33" s="216"/>
      <c r="WRY33" s="216"/>
      <c r="WRZ33" s="216"/>
      <c r="WSA33" s="216"/>
      <c r="WSB33" s="216"/>
      <c r="WSC33" s="216"/>
      <c r="WSD33" s="216"/>
      <c r="WSE33" s="216"/>
      <c r="WSF33" s="216"/>
      <c r="WSG33" s="216"/>
      <c r="WSH33" s="216"/>
      <c r="WSI33" s="216"/>
      <c r="WSJ33" s="216"/>
      <c r="WSK33" s="216"/>
      <c r="WSL33" s="216"/>
      <c r="WSM33" s="216"/>
      <c r="WSN33" s="216"/>
      <c r="WSO33" s="216"/>
      <c r="WSP33" s="216"/>
      <c r="WSQ33" s="216"/>
      <c r="WSR33" s="216"/>
      <c r="WSS33" s="216"/>
      <c r="WST33" s="216"/>
      <c r="WSU33" s="216"/>
      <c r="WSV33" s="216"/>
      <c r="WSW33" s="216"/>
      <c r="WSX33" s="216"/>
      <c r="WSY33" s="216"/>
      <c r="WSZ33" s="216"/>
      <c r="WTA33" s="216"/>
      <c r="WTB33" s="216"/>
      <c r="WTC33" s="216"/>
      <c r="WTD33" s="216"/>
      <c r="WTE33" s="216"/>
      <c r="WTF33" s="216"/>
      <c r="WTG33" s="216"/>
      <c r="WTH33" s="216"/>
      <c r="WTI33" s="216"/>
      <c r="WTJ33" s="216"/>
      <c r="WTK33" s="216"/>
      <c r="WTL33" s="216"/>
      <c r="WTM33" s="216"/>
      <c r="WTN33" s="216"/>
      <c r="WTO33" s="216"/>
      <c r="WTP33" s="216"/>
      <c r="WTQ33" s="216"/>
      <c r="WTR33" s="216"/>
      <c r="WTS33" s="216"/>
      <c r="WTT33" s="216"/>
      <c r="WTU33" s="216"/>
      <c r="WTV33" s="216"/>
      <c r="WTW33" s="216"/>
      <c r="WTX33" s="216"/>
      <c r="WTY33" s="216"/>
      <c r="WTZ33" s="216"/>
      <c r="WUA33" s="216"/>
      <c r="WUB33" s="216"/>
      <c r="WUC33" s="216"/>
      <c r="WUD33" s="216"/>
      <c r="WUE33" s="216"/>
      <c r="WUF33" s="216"/>
      <c r="WUG33" s="216"/>
      <c r="WUH33" s="216"/>
      <c r="WUI33" s="216"/>
      <c r="WUJ33" s="216"/>
      <c r="WUK33" s="216"/>
      <c r="WUL33" s="216"/>
      <c r="WUM33" s="216"/>
      <c r="WUN33" s="216"/>
      <c r="WUO33" s="216"/>
      <c r="WUP33" s="216"/>
      <c r="WUQ33" s="216"/>
      <c r="WUR33" s="216"/>
      <c r="WUS33" s="216"/>
      <c r="WUT33" s="216"/>
      <c r="WUU33" s="216"/>
      <c r="WUV33" s="216"/>
      <c r="WUW33" s="216"/>
      <c r="WUX33" s="216"/>
      <c r="WUY33" s="216"/>
      <c r="WUZ33" s="216"/>
      <c r="WVA33" s="216"/>
      <c r="WVB33" s="216"/>
      <c r="WVC33" s="216"/>
      <c r="WVD33" s="216"/>
      <c r="WVE33" s="216"/>
      <c r="WVF33" s="216"/>
      <c r="WVG33" s="216"/>
      <c r="WVH33" s="216"/>
      <c r="WVI33" s="216"/>
      <c r="WVJ33" s="216"/>
      <c r="WVK33" s="216"/>
      <c r="WVL33" s="216"/>
      <c r="WVM33" s="216"/>
      <c r="WVN33" s="216"/>
      <c r="WVO33" s="216"/>
      <c r="WVP33" s="216"/>
      <c r="WVQ33" s="216"/>
      <c r="WVR33" s="216"/>
      <c r="WVS33" s="216"/>
      <c r="WVT33" s="216"/>
      <c r="WVU33" s="216"/>
      <c r="WVV33" s="216"/>
      <c r="WVW33" s="216"/>
      <c r="WVX33" s="216"/>
      <c r="WVY33" s="216"/>
      <c r="WVZ33" s="216"/>
      <c r="WWA33" s="216"/>
      <c r="WWB33" s="216"/>
      <c r="WWC33" s="216"/>
      <c r="WWD33" s="216"/>
      <c r="WWE33" s="216"/>
      <c r="WWF33" s="216"/>
      <c r="WWG33" s="216"/>
      <c r="WWH33" s="216"/>
      <c r="WWI33" s="216"/>
      <c r="WWJ33" s="216"/>
      <c r="WWK33" s="216"/>
      <c r="WWL33" s="216"/>
      <c r="WWM33" s="216"/>
      <c r="WWN33" s="216"/>
      <c r="WWO33" s="216"/>
      <c r="WWP33" s="216"/>
      <c r="WWQ33" s="216"/>
      <c r="WWR33" s="216"/>
      <c r="WWS33" s="216"/>
      <c r="WWT33" s="216"/>
      <c r="WWU33" s="216"/>
      <c r="WWV33" s="216"/>
      <c r="WWW33" s="216"/>
      <c r="WWX33" s="216"/>
      <c r="WWY33" s="216"/>
      <c r="WWZ33" s="216"/>
      <c r="WXA33" s="216"/>
      <c r="WXB33" s="216"/>
      <c r="WXC33" s="216"/>
      <c r="WXD33" s="216"/>
      <c r="WXE33" s="216"/>
      <c r="WXF33" s="216"/>
      <c r="WXG33" s="216"/>
      <c r="WXH33" s="216"/>
      <c r="WXI33" s="216"/>
      <c r="WXJ33" s="216"/>
      <c r="WXK33" s="216"/>
      <c r="WXL33" s="216"/>
      <c r="WXM33" s="216"/>
      <c r="WXN33" s="216"/>
      <c r="WXO33" s="216"/>
      <c r="WXP33" s="216"/>
      <c r="WXQ33" s="216"/>
      <c r="WXR33" s="216"/>
      <c r="WXS33" s="216"/>
      <c r="WXT33" s="216"/>
      <c r="WXU33" s="216"/>
      <c r="WXV33" s="216"/>
      <c r="WXW33" s="216"/>
      <c r="WXX33" s="216"/>
      <c r="WXY33" s="216"/>
      <c r="WXZ33" s="216"/>
      <c r="WYA33" s="216"/>
      <c r="WYB33" s="216"/>
      <c r="WYC33" s="216"/>
      <c r="WYD33" s="216"/>
      <c r="WYE33" s="216"/>
      <c r="WYF33" s="216"/>
      <c r="WYG33" s="216"/>
      <c r="WYH33" s="216"/>
      <c r="WYI33" s="216"/>
      <c r="WYJ33" s="216"/>
      <c r="WYK33" s="216"/>
      <c r="WYL33" s="216"/>
      <c r="WYM33" s="216"/>
      <c r="WYN33" s="216"/>
      <c r="WYO33" s="216"/>
      <c r="WYP33" s="216"/>
      <c r="WYQ33" s="216"/>
      <c r="WYR33" s="216"/>
      <c r="WYS33" s="216"/>
      <c r="WYT33" s="216"/>
      <c r="WYU33" s="216"/>
      <c r="WYV33" s="216"/>
      <c r="WYW33" s="216"/>
      <c r="WYX33" s="216"/>
      <c r="WYY33" s="216"/>
      <c r="WYZ33" s="216"/>
      <c r="WZA33" s="216"/>
      <c r="WZB33" s="216"/>
      <c r="WZC33" s="216"/>
      <c r="WZD33" s="216"/>
      <c r="WZE33" s="216"/>
      <c r="WZF33" s="216"/>
      <c r="WZG33" s="216"/>
      <c r="WZH33" s="216"/>
      <c r="WZI33" s="216"/>
      <c r="WZJ33" s="216"/>
      <c r="WZK33" s="216"/>
      <c r="WZL33" s="216"/>
      <c r="WZM33" s="216"/>
      <c r="WZN33" s="216"/>
      <c r="WZO33" s="216"/>
      <c r="WZP33" s="216"/>
      <c r="WZQ33" s="216"/>
      <c r="WZR33" s="216"/>
      <c r="WZS33" s="216"/>
      <c r="WZT33" s="216"/>
      <c r="WZU33" s="216"/>
      <c r="WZV33" s="216"/>
      <c r="WZW33" s="216"/>
      <c r="WZX33" s="216"/>
      <c r="WZY33" s="216"/>
      <c r="WZZ33" s="216"/>
      <c r="XAA33" s="216"/>
      <c r="XAB33" s="216"/>
      <c r="XAC33" s="216"/>
      <c r="XAD33" s="216"/>
      <c r="XAE33" s="216"/>
      <c r="XAF33" s="216"/>
      <c r="XAG33" s="216"/>
      <c r="XAH33" s="216"/>
      <c r="XAI33" s="216"/>
      <c r="XAJ33" s="216"/>
      <c r="XAK33" s="216"/>
      <c r="XAL33" s="216"/>
      <c r="XAM33" s="216"/>
      <c r="XAN33" s="216"/>
      <c r="XAO33" s="216"/>
      <c r="XAP33" s="216"/>
      <c r="XAQ33" s="216"/>
      <c r="XAR33" s="216"/>
      <c r="XAS33" s="216"/>
      <c r="XAT33" s="216"/>
      <c r="XAU33" s="216"/>
      <c r="XAV33" s="216"/>
      <c r="XAW33" s="216"/>
      <c r="XAX33" s="216"/>
      <c r="XAY33" s="216"/>
      <c r="XAZ33" s="216"/>
      <c r="XBA33" s="216"/>
      <c r="XBB33" s="216"/>
      <c r="XBC33" s="216"/>
      <c r="XBD33" s="216"/>
      <c r="XBE33" s="216"/>
      <c r="XBF33" s="216"/>
      <c r="XBG33" s="216"/>
      <c r="XBH33" s="216"/>
      <c r="XBI33" s="216"/>
      <c r="XBJ33" s="216"/>
      <c r="XBK33" s="216"/>
      <c r="XBL33" s="216"/>
      <c r="XBM33" s="216"/>
      <c r="XBN33" s="216"/>
      <c r="XBO33" s="216"/>
      <c r="XBP33" s="216"/>
      <c r="XBQ33" s="216"/>
      <c r="XBR33" s="216"/>
      <c r="XBS33" s="216"/>
      <c r="XBT33" s="216"/>
      <c r="XBU33" s="216"/>
      <c r="XBV33" s="216"/>
      <c r="XBW33" s="216"/>
      <c r="XBX33" s="216"/>
      <c r="XBY33" s="216"/>
      <c r="XBZ33" s="216"/>
      <c r="XCA33" s="216"/>
      <c r="XCB33" s="216"/>
      <c r="XCC33" s="216"/>
      <c r="XCD33" s="216"/>
      <c r="XCE33" s="216"/>
      <c r="XCF33" s="216"/>
      <c r="XCG33" s="216"/>
      <c r="XCH33" s="216"/>
      <c r="XCI33" s="216"/>
      <c r="XCJ33" s="216"/>
      <c r="XCK33" s="216"/>
      <c r="XCL33" s="216"/>
      <c r="XCM33" s="216"/>
      <c r="XCN33" s="216"/>
      <c r="XCO33" s="216"/>
      <c r="XCP33" s="216"/>
      <c r="XCQ33" s="216"/>
      <c r="XCR33" s="216"/>
      <c r="XCS33" s="216"/>
      <c r="XCT33" s="216"/>
      <c r="XCU33" s="216"/>
      <c r="XCV33" s="216"/>
      <c r="XCW33" s="216"/>
      <c r="XCX33" s="216"/>
      <c r="XCY33" s="216"/>
      <c r="XCZ33" s="216"/>
      <c r="XDA33" s="216"/>
      <c r="XDB33" s="216"/>
      <c r="XDC33" s="216"/>
      <c r="XDD33" s="216"/>
      <c r="XDE33" s="216"/>
      <c r="XDF33" s="216"/>
      <c r="XDG33" s="216"/>
      <c r="XDH33" s="216"/>
      <c r="XDI33" s="216"/>
      <c r="XDJ33" s="216"/>
      <c r="XDK33" s="216"/>
      <c r="XDL33" s="216"/>
      <c r="XDM33" s="216"/>
      <c r="XDN33" s="216"/>
      <c r="XDO33" s="216"/>
      <c r="XDP33" s="216"/>
      <c r="XDQ33" s="216"/>
      <c r="XDR33" s="216"/>
      <c r="XDS33" s="216"/>
      <c r="XDT33" s="216"/>
      <c r="XDU33" s="216"/>
      <c r="XDV33" s="216"/>
      <c r="XDW33" s="216"/>
      <c r="XDX33" s="216"/>
      <c r="XDY33" s="216"/>
      <c r="XDZ33" s="216"/>
      <c r="XEA33" s="216"/>
      <c r="XEB33" s="216"/>
      <c r="XEC33" s="216"/>
      <c r="XED33" s="216"/>
      <c r="XEE33" s="216"/>
      <c r="XEF33" s="216"/>
      <c r="XEG33" s="216"/>
      <c r="XEH33" s="216"/>
      <c r="XEI33" s="216"/>
      <c r="XEJ33" s="216"/>
      <c r="XEK33" s="216"/>
      <c r="XEL33" s="216"/>
      <c r="XEM33" s="216"/>
      <c r="XEN33" s="216"/>
      <c r="XEO33" s="216"/>
      <c r="XEP33" s="216"/>
      <c r="XEQ33" s="216"/>
      <c r="XER33" s="216"/>
      <c r="XES33" s="216"/>
      <c r="XET33" s="216"/>
      <c r="XEU33" s="216"/>
      <c r="XEV33" s="216"/>
      <c r="XEW33" s="216"/>
      <c r="XEX33" s="216"/>
      <c r="XEY33" s="216"/>
      <c r="XEZ33" s="216"/>
      <c r="XFA33" s="216"/>
      <c r="XFB33" s="216"/>
      <c r="XFC33" s="216"/>
    </row>
    <row r="34" spans="1:16383" s="12" customFormat="1" ht="28.05" customHeight="1" x14ac:dyDescent="0.3">
      <c r="A34" s="88" t="s">
        <v>270</v>
      </c>
      <c r="B34" s="89" t="s">
        <v>271</v>
      </c>
      <c r="C34" s="89" t="s">
        <v>272</v>
      </c>
      <c r="D34" s="89" t="s">
        <v>273</v>
      </c>
      <c r="E34" s="211" t="s">
        <v>285</v>
      </c>
      <c r="F34" s="211"/>
      <c r="G34" s="211" t="s">
        <v>286</v>
      </c>
      <c r="H34" s="211"/>
    </row>
    <row r="35" spans="1:16383" ht="31.95" customHeight="1" x14ac:dyDescent="0.3">
      <c r="A35" s="212" t="s">
        <v>275</v>
      </c>
      <c r="B35" s="201" t="s">
        <v>280</v>
      </c>
      <c r="C35" s="203">
        <f>'06_Reconciliation_&amp;_Controls'!D8</f>
        <v>-109850</v>
      </c>
      <c r="D35" s="205">
        <f>C35/'04_Actual_Production_&amp;_Costs'!$F$4</f>
        <v>-1.1442708333333333</v>
      </c>
      <c r="E35" s="207" t="s">
        <v>287</v>
      </c>
      <c r="F35" s="208"/>
      <c r="G35" s="207" t="s">
        <v>292</v>
      </c>
      <c r="H35" s="208"/>
    </row>
    <row r="36" spans="1:16383" ht="31.95" customHeight="1" x14ac:dyDescent="0.3">
      <c r="A36" s="213"/>
      <c r="B36" s="202"/>
      <c r="C36" s="204"/>
      <c r="D36" s="206"/>
      <c r="E36" s="209"/>
      <c r="F36" s="210"/>
      <c r="G36" s="209"/>
      <c r="H36" s="210"/>
    </row>
    <row r="37" spans="1:16383" ht="31.95" customHeight="1" x14ac:dyDescent="0.3">
      <c r="A37" s="212" t="s">
        <v>276</v>
      </c>
      <c r="B37" s="201" t="s">
        <v>282</v>
      </c>
      <c r="C37" s="203">
        <f>'06_Reconciliation_&amp;_Controls'!D7</f>
        <v>-97650</v>
      </c>
      <c r="D37" s="205">
        <f>C37/'04_Actual_Production_&amp;_Costs'!$F$4</f>
        <v>-1.0171874999999999</v>
      </c>
      <c r="E37" s="207" t="s">
        <v>288</v>
      </c>
      <c r="F37" s="208"/>
      <c r="G37" s="207" t="s">
        <v>293</v>
      </c>
      <c r="H37" s="208"/>
    </row>
    <row r="38" spans="1:16383" ht="31.95" customHeight="1" x14ac:dyDescent="0.3">
      <c r="A38" s="213"/>
      <c r="B38" s="202"/>
      <c r="C38" s="204"/>
      <c r="D38" s="206"/>
      <c r="E38" s="209"/>
      <c r="F38" s="210"/>
      <c r="G38" s="209"/>
      <c r="H38" s="210"/>
    </row>
    <row r="39" spans="1:16383" ht="31.95" customHeight="1" x14ac:dyDescent="0.3">
      <c r="A39" s="212" t="s">
        <v>277</v>
      </c>
      <c r="B39" s="201" t="s">
        <v>281</v>
      </c>
      <c r="C39" s="203">
        <f>'06_Reconciliation_&amp;_Controls'!D13</f>
        <v>-39900</v>
      </c>
      <c r="D39" s="205">
        <f>C39/'04_Actual_Production_&amp;_Costs'!$F$4</f>
        <v>-0.41562500000000002</v>
      </c>
      <c r="E39" s="207" t="s">
        <v>289</v>
      </c>
      <c r="F39" s="208"/>
      <c r="G39" s="207" t="s">
        <v>294</v>
      </c>
      <c r="H39" s="208"/>
    </row>
    <row r="40" spans="1:16383" ht="31.95" customHeight="1" x14ac:dyDescent="0.3">
      <c r="A40" s="213"/>
      <c r="B40" s="202"/>
      <c r="C40" s="204"/>
      <c r="D40" s="206"/>
      <c r="E40" s="209"/>
      <c r="F40" s="210"/>
      <c r="G40" s="209"/>
      <c r="H40" s="210"/>
    </row>
    <row r="41" spans="1:16383" ht="31.95" customHeight="1" x14ac:dyDescent="0.3">
      <c r="A41" s="212" t="s">
        <v>278</v>
      </c>
      <c r="B41" s="201" t="s">
        <v>283</v>
      </c>
      <c r="C41" s="203">
        <f>'06_Reconciliation_&amp;_Controls'!D17</f>
        <v>-26400</v>
      </c>
      <c r="D41" s="205">
        <f>C41/'04_Actual_Production_&amp;_Costs'!$F$4</f>
        <v>-0.27500000000000002</v>
      </c>
      <c r="E41" s="207" t="s">
        <v>290</v>
      </c>
      <c r="F41" s="208"/>
      <c r="G41" s="207" t="s">
        <v>295</v>
      </c>
      <c r="H41" s="208"/>
    </row>
    <row r="42" spans="1:16383" ht="31.95" customHeight="1" x14ac:dyDescent="0.3">
      <c r="A42" s="213"/>
      <c r="B42" s="202"/>
      <c r="C42" s="204"/>
      <c r="D42" s="206"/>
      <c r="E42" s="209"/>
      <c r="F42" s="210"/>
      <c r="G42" s="209"/>
      <c r="H42" s="210"/>
    </row>
    <row r="43" spans="1:16383" ht="31.95" customHeight="1" x14ac:dyDescent="0.3">
      <c r="A43" s="214" t="s">
        <v>279</v>
      </c>
      <c r="B43" s="195" t="s">
        <v>284</v>
      </c>
      <c r="C43" s="197">
        <f>'06_Reconciliation_&amp;_Controls'!D15</f>
        <v>-20250</v>
      </c>
      <c r="D43" s="199">
        <f>C43/'04_Actual_Production_&amp;_Costs'!$F$4</f>
        <v>-0.2109375</v>
      </c>
      <c r="E43" s="195" t="s">
        <v>291</v>
      </c>
      <c r="F43" s="195"/>
      <c r="G43" s="195" t="s">
        <v>296</v>
      </c>
      <c r="H43" s="195"/>
    </row>
    <row r="44" spans="1:16383" ht="31.95" customHeight="1" x14ac:dyDescent="0.3">
      <c r="A44" s="215"/>
      <c r="B44" s="196"/>
      <c r="C44" s="198"/>
      <c r="D44" s="200"/>
      <c r="E44" s="196"/>
      <c r="F44" s="196"/>
      <c r="G44" s="196"/>
      <c r="H44" s="196"/>
    </row>
  </sheetData>
  <mergeCells count="4141">
    <mergeCell ref="XDH8:XDO8"/>
    <mergeCell ref="XDP8:XDW8"/>
    <mergeCell ref="XDX8:XEE8"/>
    <mergeCell ref="XEF8:XEM8"/>
    <mergeCell ref="XEN8:XEU8"/>
    <mergeCell ref="XEV8:XFC8"/>
    <mergeCell ref="XBL8:XBS8"/>
    <mergeCell ref="XBT8:XCA8"/>
    <mergeCell ref="XCB8:XCI8"/>
    <mergeCell ref="XCJ8:XCQ8"/>
    <mergeCell ref="XCR8:XCY8"/>
    <mergeCell ref="XCZ8:XDG8"/>
    <mergeCell ref="WZP8:WZW8"/>
    <mergeCell ref="WZX8:XAE8"/>
    <mergeCell ref="XAF8:XAM8"/>
    <mergeCell ref="XAN8:XAU8"/>
    <mergeCell ref="XAV8:XBC8"/>
    <mergeCell ref="XBD8:XBK8"/>
    <mergeCell ref="WXT8:WYA8"/>
    <mergeCell ref="WYB8:WYI8"/>
    <mergeCell ref="WYJ8:WYQ8"/>
    <mergeCell ref="WYR8:WYY8"/>
    <mergeCell ref="WYZ8:WZG8"/>
    <mergeCell ref="WZH8:WZO8"/>
    <mergeCell ref="WVX8:WWE8"/>
    <mergeCell ref="WWF8:WWM8"/>
    <mergeCell ref="WWN8:WWU8"/>
    <mergeCell ref="WWV8:WXC8"/>
    <mergeCell ref="WXD8:WXK8"/>
    <mergeCell ref="WXL8:WXS8"/>
    <mergeCell ref="WUB8:WUI8"/>
    <mergeCell ref="WUJ8:WUQ8"/>
    <mergeCell ref="WUR8:WUY8"/>
    <mergeCell ref="WUZ8:WVG8"/>
    <mergeCell ref="WVH8:WVO8"/>
    <mergeCell ref="WVP8:WVW8"/>
    <mergeCell ref="WSF8:WSM8"/>
    <mergeCell ref="WSN8:WSU8"/>
    <mergeCell ref="WSV8:WTC8"/>
    <mergeCell ref="WTD8:WTK8"/>
    <mergeCell ref="WTL8:WTS8"/>
    <mergeCell ref="WTT8:WUA8"/>
    <mergeCell ref="WQJ8:WQQ8"/>
    <mergeCell ref="WQR8:WQY8"/>
    <mergeCell ref="WQZ8:WRG8"/>
    <mergeCell ref="WRH8:WRO8"/>
    <mergeCell ref="WRP8:WRW8"/>
    <mergeCell ref="WRX8:WSE8"/>
    <mergeCell ref="WON8:WOU8"/>
    <mergeCell ref="WOV8:WPC8"/>
    <mergeCell ref="WPD8:WPK8"/>
    <mergeCell ref="WPL8:WPS8"/>
    <mergeCell ref="WPT8:WQA8"/>
    <mergeCell ref="WQB8:WQI8"/>
    <mergeCell ref="WMR8:WMY8"/>
    <mergeCell ref="WMZ8:WNG8"/>
    <mergeCell ref="WNH8:WNO8"/>
    <mergeCell ref="WNP8:WNW8"/>
    <mergeCell ref="WNX8:WOE8"/>
    <mergeCell ref="WOF8:WOM8"/>
    <mergeCell ref="WKV8:WLC8"/>
    <mergeCell ref="WLD8:WLK8"/>
    <mergeCell ref="WLL8:WLS8"/>
    <mergeCell ref="WLT8:WMA8"/>
    <mergeCell ref="WMB8:WMI8"/>
    <mergeCell ref="WMJ8:WMQ8"/>
    <mergeCell ref="WIZ8:WJG8"/>
    <mergeCell ref="WJH8:WJO8"/>
    <mergeCell ref="WJP8:WJW8"/>
    <mergeCell ref="WJX8:WKE8"/>
    <mergeCell ref="WKF8:WKM8"/>
    <mergeCell ref="WKN8:WKU8"/>
    <mergeCell ref="WHD8:WHK8"/>
    <mergeCell ref="WHL8:WHS8"/>
    <mergeCell ref="WHT8:WIA8"/>
    <mergeCell ref="WIB8:WII8"/>
    <mergeCell ref="WIJ8:WIQ8"/>
    <mergeCell ref="WIR8:WIY8"/>
    <mergeCell ref="WFH8:WFO8"/>
    <mergeCell ref="WFP8:WFW8"/>
    <mergeCell ref="WFX8:WGE8"/>
    <mergeCell ref="WGF8:WGM8"/>
    <mergeCell ref="WGN8:WGU8"/>
    <mergeCell ref="WGV8:WHC8"/>
    <mergeCell ref="WDL8:WDS8"/>
    <mergeCell ref="WDT8:WEA8"/>
    <mergeCell ref="WEB8:WEI8"/>
    <mergeCell ref="WEJ8:WEQ8"/>
    <mergeCell ref="WER8:WEY8"/>
    <mergeCell ref="WEZ8:WFG8"/>
    <mergeCell ref="WBP8:WBW8"/>
    <mergeCell ref="WBX8:WCE8"/>
    <mergeCell ref="WCF8:WCM8"/>
    <mergeCell ref="WCN8:WCU8"/>
    <mergeCell ref="WCV8:WDC8"/>
    <mergeCell ref="WDD8:WDK8"/>
    <mergeCell ref="VZT8:WAA8"/>
    <mergeCell ref="WAB8:WAI8"/>
    <mergeCell ref="WAJ8:WAQ8"/>
    <mergeCell ref="WAR8:WAY8"/>
    <mergeCell ref="WAZ8:WBG8"/>
    <mergeCell ref="WBH8:WBO8"/>
    <mergeCell ref="VXX8:VYE8"/>
    <mergeCell ref="VYF8:VYM8"/>
    <mergeCell ref="VYN8:VYU8"/>
    <mergeCell ref="VYV8:VZC8"/>
    <mergeCell ref="VZD8:VZK8"/>
    <mergeCell ref="VZL8:VZS8"/>
    <mergeCell ref="VWB8:VWI8"/>
    <mergeCell ref="VWJ8:VWQ8"/>
    <mergeCell ref="VWR8:VWY8"/>
    <mergeCell ref="VWZ8:VXG8"/>
    <mergeCell ref="VXH8:VXO8"/>
    <mergeCell ref="VXP8:VXW8"/>
    <mergeCell ref="VUF8:VUM8"/>
    <mergeCell ref="VUN8:VUU8"/>
    <mergeCell ref="VUV8:VVC8"/>
    <mergeCell ref="VVD8:VVK8"/>
    <mergeCell ref="VVL8:VVS8"/>
    <mergeCell ref="VVT8:VWA8"/>
    <mergeCell ref="VSJ8:VSQ8"/>
    <mergeCell ref="VSR8:VSY8"/>
    <mergeCell ref="VSZ8:VTG8"/>
    <mergeCell ref="VTH8:VTO8"/>
    <mergeCell ref="VTP8:VTW8"/>
    <mergeCell ref="VTX8:VUE8"/>
    <mergeCell ref="VQN8:VQU8"/>
    <mergeCell ref="VQV8:VRC8"/>
    <mergeCell ref="VRD8:VRK8"/>
    <mergeCell ref="VRL8:VRS8"/>
    <mergeCell ref="VRT8:VSA8"/>
    <mergeCell ref="VSB8:VSI8"/>
    <mergeCell ref="VOR8:VOY8"/>
    <mergeCell ref="VOZ8:VPG8"/>
    <mergeCell ref="VPH8:VPO8"/>
    <mergeCell ref="VPP8:VPW8"/>
    <mergeCell ref="VPX8:VQE8"/>
    <mergeCell ref="VQF8:VQM8"/>
    <mergeCell ref="VMV8:VNC8"/>
    <mergeCell ref="VND8:VNK8"/>
    <mergeCell ref="VNL8:VNS8"/>
    <mergeCell ref="VNT8:VOA8"/>
    <mergeCell ref="VOB8:VOI8"/>
    <mergeCell ref="VOJ8:VOQ8"/>
    <mergeCell ref="VKZ8:VLG8"/>
    <mergeCell ref="VLH8:VLO8"/>
    <mergeCell ref="VLP8:VLW8"/>
    <mergeCell ref="VLX8:VME8"/>
    <mergeCell ref="VMF8:VMM8"/>
    <mergeCell ref="VMN8:VMU8"/>
    <mergeCell ref="VJD8:VJK8"/>
    <mergeCell ref="VJL8:VJS8"/>
    <mergeCell ref="VJT8:VKA8"/>
    <mergeCell ref="VKB8:VKI8"/>
    <mergeCell ref="VKJ8:VKQ8"/>
    <mergeCell ref="VKR8:VKY8"/>
    <mergeCell ref="VHH8:VHO8"/>
    <mergeCell ref="VHP8:VHW8"/>
    <mergeCell ref="VHX8:VIE8"/>
    <mergeCell ref="VIF8:VIM8"/>
    <mergeCell ref="VIN8:VIU8"/>
    <mergeCell ref="VIV8:VJC8"/>
    <mergeCell ref="VFL8:VFS8"/>
    <mergeCell ref="VFT8:VGA8"/>
    <mergeCell ref="VGB8:VGI8"/>
    <mergeCell ref="VGJ8:VGQ8"/>
    <mergeCell ref="VGR8:VGY8"/>
    <mergeCell ref="VGZ8:VHG8"/>
    <mergeCell ref="VDP8:VDW8"/>
    <mergeCell ref="VDX8:VEE8"/>
    <mergeCell ref="VEF8:VEM8"/>
    <mergeCell ref="VEN8:VEU8"/>
    <mergeCell ref="VEV8:VFC8"/>
    <mergeCell ref="VFD8:VFK8"/>
    <mergeCell ref="VBT8:VCA8"/>
    <mergeCell ref="VCB8:VCI8"/>
    <mergeCell ref="VCJ8:VCQ8"/>
    <mergeCell ref="VCR8:VCY8"/>
    <mergeCell ref="VCZ8:VDG8"/>
    <mergeCell ref="VDH8:VDO8"/>
    <mergeCell ref="UZX8:VAE8"/>
    <mergeCell ref="VAF8:VAM8"/>
    <mergeCell ref="VAN8:VAU8"/>
    <mergeCell ref="VAV8:VBC8"/>
    <mergeCell ref="VBD8:VBK8"/>
    <mergeCell ref="VBL8:VBS8"/>
    <mergeCell ref="UYB8:UYI8"/>
    <mergeCell ref="UYJ8:UYQ8"/>
    <mergeCell ref="UYR8:UYY8"/>
    <mergeCell ref="UYZ8:UZG8"/>
    <mergeCell ref="UZH8:UZO8"/>
    <mergeCell ref="UZP8:UZW8"/>
    <mergeCell ref="UWF8:UWM8"/>
    <mergeCell ref="UWN8:UWU8"/>
    <mergeCell ref="UWV8:UXC8"/>
    <mergeCell ref="UXD8:UXK8"/>
    <mergeCell ref="UXL8:UXS8"/>
    <mergeCell ref="UXT8:UYA8"/>
    <mergeCell ref="UUJ8:UUQ8"/>
    <mergeCell ref="UUR8:UUY8"/>
    <mergeCell ref="UUZ8:UVG8"/>
    <mergeCell ref="UVH8:UVO8"/>
    <mergeCell ref="UVP8:UVW8"/>
    <mergeCell ref="UVX8:UWE8"/>
    <mergeCell ref="USN8:USU8"/>
    <mergeCell ref="USV8:UTC8"/>
    <mergeCell ref="UTD8:UTK8"/>
    <mergeCell ref="UTL8:UTS8"/>
    <mergeCell ref="UTT8:UUA8"/>
    <mergeCell ref="UUB8:UUI8"/>
    <mergeCell ref="UQR8:UQY8"/>
    <mergeCell ref="UQZ8:URG8"/>
    <mergeCell ref="URH8:URO8"/>
    <mergeCell ref="URP8:URW8"/>
    <mergeCell ref="URX8:USE8"/>
    <mergeCell ref="USF8:USM8"/>
    <mergeCell ref="UOV8:UPC8"/>
    <mergeCell ref="UPD8:UPK8"/>
    <mergeCell ref="UPL8:UPS8"/>
    <mergeCell ref="UPT8:UQA8"/>
    <mergeCell ref="UQB8:UQI8"/>
    <mergeCell ref="UQJ8:UQQ8"/>
    <mergeCell ref="UMZ8:UNG8"/>
    <mergeCell ref="UNH8:UNO8"/>
    <mergeCell ref="UNP8:UNW8"/>
    <mergeCell ref="UNX8:UOE8"/>
    <mergeCell ref="UOF8:UOM8"/>
    <mergeCell ref="UON8:UOU8"/>
    <mergeCell ref="ULD8:ULK8"/>
    <mergeCell ref="ULL8:ULS8"/>
    <mergeCell ref="ULT8:UMA8"/>
    <mergeCell ref="UMB8:UMI8"/>
    <mergeCell ref="UMJ8:UMQ8"/>
    <mergeCell ref="UMR8:UMY8"/>
    <mergeCell ref="UJH8:UJO8"/>
    <mergeCell ref="UJP8:UJW8"/>
    <mergeCell ref="UJX8:UKE8"/>
    <mergeCell ref="UKF8:UKM8"/>
    <mergeCell ref="UKN8:UKU8"/>
    <mergeCell ref="UKV8:ULC8"/>
    <mergeCell ref="UHL8:UHS8"/>
    <mergeCell ref="UHT8:UIA8"/>
    <mergeCell ref="UIB8:UII8"/>
    <mergeCell ref="UIJ8:UIQ8"/>
    <mergeCell ref="UIR8:UIY8"/>
    <mergeCell ref="UIZ8:UJG8"/>
    <mergeCell ref="UFP8:UFW8"/>
    <mergeCell ref="UFX8:UGE8"/>
    <mergeCell ref="UGF8:UGM8"/>
    <mergeCell ref="UGN8:UGU8"/>
    <mergeCell ref="UGV8:UHC8"/>
    <mergeCell ref="UHD8:UHK8"/>
    <mergeCell ref="UDT8:UEA8"/>
    <mergeCell ref="UEB8:UEI8"/>
    <mergeCell ref="UEJ8:UEQ8"/>
    <mergeCell ref="UER8:UEY8"/>
    <mergeCell ref="UEZ8:UFG8"/>
    <mergeCell ref="UFH8:UFO8"/>
    <mergeCell ref="UBX8:UCE8"/>
    <mergeCell ref="UCF8:UCM8"/>
    <mergeCell ref="UCN8:UCU8"/>
    <mergeCell ref="UCV8:UDC8"/>
    <mergeCell ref="UDD8:UDK8"/>
    <mergeCell ref="UDL8:UDS8"/>
    <mergeCell ref="UAB8:UAI8"/>
    <mergeCell ref="UAJ8:UAQ8"/>
    <mergeCell ref="UAR8:UAY8"/>
    <mergeCell ref="UAZ8:UBG8"/>
    <mergeCell ref="UBH8:UBO8"/>
    <mergeCell ref="UBP8:UBW8"/>
    <mergeCell ref="TYF8:TYM8"/>
    <mergeCell ref="TYN8:TYU8"/>
    <mergeCell ref="TYV8:TZC8"/>
    <mergeCell ref="TZD8:TZK8"/>
    <mergeCell ref="TZL8:TZS8"/>
    <mergeCell ref="TZT8:UAA8"/>
    <mergeCell ref="TWJ8:TWQ8"/>
    <mergeCell ref="TWR8:TWY8"/>
    <mergeCell ref="TWZ8:TXG8"/>
    <mergeCell ref="TXH8:TXO8"/>
    <mergeCell ref="TXP8:TXW8"/>
    <mergeCell ref="TXX8:TYE8"/>
    <mergeCell ref="TUN8:TUU8"/>
    <mergeCell ref="TUV8:TVC8"/>
    <mergeCell ref="TVD8:TVK8"/>
    <mergeCell ref="TVL8:TVS8"/>
    <mergeCell ref="TVT8:TWA8"/>
    <mergeCell ref="TWB8:TWI8"/>
    <mergeCell ref="TSR8:TSY8"/>
    <mergeCell ref="TSZ8:TTG8"/>
    <mergeCell ref="TTH8:TTO8"/>
    <mergeCell ref="TTP8:TTW8"/>
    <mergeCell ref="TTX8:TUE8"/>
    <mergeCell ref="TUF8:TUM8"/>
    <mergeCell ref="TQV8:TRC8"/>
    <mergeCell ref="TRD8:TRK8"/>
    <mergeCell ref="TRL8:TRS8"/>
    <mergeCell ref="TRT8:TSA8"/>
    <mergeCell ref="TSB8:TSI8"/>
    <mergeCell ref="TSJ8:TSQ8"/>
    <mergeCell ref="TOZ8:TPG8"/>
    <mergeCell ref="TPH8:TPO8"/>
    <mergeCell ref="TPP8:TPW8"/>
    <mergeCell ref="TPX8:TQE8"/>
    <mergeCell ref="TQF8:TQM8"/>
    <mergeCell ref="TQN8:TQU8"/>
    <mergeCell ref="TND8:TNK8"/>
    <mergeCell ref="TNL8:TNS8"/>
    <mergeCell ref="TNT8:TOA8"/>
    <mergeCell ref="TOB8:TOI8"/>
    <mergeCell ref="TOJ8:TOQ8"/>
    <mergeCell ref="TOR8:TOY8"/>
    <mergeCell ref="TLH8:TLO8"/>
    <mergeCell ref="TLP8:TLW8"/>
    <mergeCell ref="TLX8:TME8"/>
    <mergeCell ref="TMF8:TMM8"/>
    <mergeCell ref="TMN8:TMU8"/>
    <mergeCell ref="TMV8:TNC8"/>
    <mergeCell ref="TJL8:TJS8"/>
    <mergeCell ref="TJT8:TKA8"/>
    <mergeCell ref="TKB8:TKI8"/>
    <mergeCell ref="TKJ8:TKQ8"/>
    <mergeCell ref="TKR8:TKY8"/>
    <mergeCell ref="TKZ8:TLG8"/>
    <mergeCell ref="THP8:THW8"/>
    <mergeCell ref="THX8:TIE8"/>
    <mergeCell ref="TIF8:TIM8"/>
    <mergeCell ref="TIN8:TIU8"/>
    <mergeCell ref="TIV8:TJC8"/>
    <mergeCell ref="TJD8:TJK8"/>
    <mergeCell ref="TFT8:TGA8"/>
    <mergeCell ref="TGB8:TGI8"/>
    <mergeCell ref="TGJ8:TGQ8"/>
    <mergeCell ref="TGR8:TGY8"/>
    <mergeCell ref="TGZ8:THG8"/>
    <mergeCell ref="THH8:THO8"/>
    <mergeCell ref="TDX8:TEE8"/>
    <mergeCell ref="TEF8:TEM8"/>
    <mergeCell ref="TEN8:TEU8"/>
    <mergeCell ref="TEV8:TFC8"/>
    <mergeCell ref="TFD8:TFK8"/>
    <mergeCell ref="TFL8:TFS8"/>
    <mergeCell ref="TCB8:TCI8"/>
    <mergeCell ref="TCJ8:TCQ8"/>
    <mergeCell ref="TCR8:TCY8"/>
    <mergeCell ref="TCZ8:TDG8"/>
    <mergeCell ref="TDH8:TDO8"/>
    <mergeCell ref="TDP8:TDW8"/>
    <mergeCell ref="TAF8:TAM8"/>
    <mergeCell ref="TAN8:TAU8"/>
    <mergeCell ref="TAV8:TBC8"/>
    <mergeCell ref="TBD8:TBK8"/>
    <mergeCell ref="TBL8:TBS8"/>
    <mergeCell ref="TBT8:TCA8"/>
    <mergeCell ref="SYJ8:SYQ8"/>
    <mergeCell ref="SYR8:SYY8"/>
    <mergeCell ref="SYZ8:SZG8"/>
    <mergeCell ref="SZH8:SZO8"/>
    <mergeCell ref="SZP8:SZW8"/>
    <mergeCell ref="SZX8:TAE8"/>
    <mergeCell ref="SWN8:SWU8"/>
    <mergeCell ref="SWV8:SXC8"/>
    <mergeCell ref="SXD8:SXK8"/>
    <mergeCell ref="SXL8:SXS8"/>
    <mergeCell ref="SXT8:SYA8"/>
    <mergeCell ref="SYB8:SYI8"/>
    <mergeCell ref="SUR8:SUY8"/>
    <mergeCell ref="SUZ8:SVG8"/>
    <mergeCell ref="SVH8:SVO8"/>
    <mergeCell ref="SVP8:SVW8"/>
    <mergeCell ref="SVX8:SWE8"/>
    <mergeCell ref="SWF8:SWM8"/>
    <mergeCell ref="SSV8:STC8"/>
    <mergeCell ref="STD8:STK8"/>
    <mergeCell ref="STL8:STS8"/>
    <mergeCell ref="STT8:SUA8"/>
    <mergeCell ref="SUB8:SUI8"/>
    <mergeCell ref="SUJ8:SUQ8"/>
    <mergeCell ref="SQZ8:SRG8"/>
    <mergeCell ref="SRH8:SRO8"/>
    <mergeCell ref="SRP8:SRW8"/>
    <mergeCell ref="SRX8:SSE8"/>
    <mergeCell ref="SSF8:SSM8"/>
    <mergeCell ref="SSN8:SSU8"/>
    <mergeCell ref="SPD8:SPK8"/>
    <mergeCell ref="SPL8:SPS8"/>
    <mergeCell ref="SPT8:SQA8"/>
    <mergeCell ref="SQB8:SQI8"/>
    <mergeCell ref="SQJ8:SQQ8"/>
    <mergeCell ref="SQR8:SQY8"/>
    <mergeCell ref="SNH8:SNO8"/>
    <mergeCell ref="SNP8:SNW8"/>
    <mergeCell ref="SNX8:SOE8"/>
    <mergeCell ref="SOF8:SOM8"/>
    <mergeCell ref="SON8:SOU8"/>
    <mergeCell ref="SOV8:SPC8"/>
    <mergeCell ref="SLL8:SLS8"/>
    <mergeCell ref="SLT8:SMA8"/>
    <mergeCell ref="SMB8:SMI8"/>
    <mergeCell ref="SMJ8:SMQ8"/>
    <mergeCell ref="SMR8:SMY8"/>
    <mergeCell ref="SMZ8:SNG8"/>
    <mergeCell ref="SJP8:SJW8"/>
    <mergeCell ref="SJX8:SKE8"/>
    <mergeCell ref="SKF8:SKM8"/>
    <mergeCell ref="SKN8:SKU8"/>
    <mergeCell ref="SKV8:SLC8"/>
    <mergeCell ref="SLD8:SLK8"/>
    <mergeCell ref="SHT8:SIA8"/>
    <mergeCell ref="SIB8:SII8"/>
    <mergeCell ref="SIJ8:SIQ8"/>
    <mergeCell ref="SIR8:SIY8"/>
    <mergeCell ref="SIZ8:SJG8"/>
    <mergeCell ref="SJH8:SJO8"/>
    <mergeCell ref="SFX8:SGE8"/>
    <mergeCell ref="SGF8:SGM8"/>
    <mergeCell ref="SGN8:SGU8"/>
    <mergeCell ref="SGV8:SHC8"/>
    <mergeCell ref="SHD8:SHK8"/>
    <mergeCell ref="SHL8:SHS8"/>
    <mergeCell ref="SEB8:SEI8"/>
    <mergeCell ref="SEJ8:SEQ8"/>
    <mergeCell ref="SER8:SEY8"/>
    <mergeCell ref="SEZ8:SFG8"/>
    <mergeCell ref="SFH8:SFO8"/>
    <mergeCell ref="SFP8:SFW8"/>
    <mergeCell ref="SCF8:SCM8"/>
    <mergeCell ref="SCN8:SCU8"/>
    <mergeCell ref="SCV8:SDC8"/>
    <mergeCell ref="SDD8:SDK8"/>
    <mergeCell ref="SDL8:SDS8"/>
    <mergeCell ref="SDT8:SEA8"/>
    <mergeCell ref="SAJ8:SAQ8"/>
    <mergeCell ref="SAR8:SAY8"/>
    <mergeCell ref="SAZ8:SBG8"/>
    <mergeCell ref="SBH8:SBO8"/>
    <mergeCell ref="SBP8:SBW8"/>
    <mergeCell ref="SBX8:SCE8"/>
    <mergeCell ref="RYN8:RYU8"/>
    <mergeCell ref="RYV8:RZC8"/>
    <mergeCell ref="RZD8:RZK8"/>
    <mergeCell ref="RZL8:RZS8"/>
    <mergeCell ref="RZT8:SAA8"/>
    <mergeCell ref="SAB8:SAI8"/>
    <mergeCell ref="RWR8:RWY8"/>
    <mergeCell ref="RWZ8:RXG8"/>
    <mergeCell ref="RXH8:RXO8"/>
    <mergeCell ref="RXP8:RXW8"/>
    <mergeCell ref="RXX8:RYE8"/>
    <mergeCell ref="RYF8:RYM8"/>
    <mergeCell ref="RUV8:RVC8"/>
    <mergeCell ref="RVD8:RVK8"/>
    <mergeCell ref="RVL8:RVS8"/>
    <mergeCell ref="RVT8:RWA8"/>
    <mergeCell ref="RWB8:RWI8"/>
    <mergeCell ref="RWJ8:RWQ8"/>
    <mergeCell ref="RSZ8:RTG8"/>
    <mergeCell ref="RTH8:RTO8"/>
    <mergeCell ref="RTP8:RTW8"/>
    <mergeCell ref="RTX8:RUE8"/>
    <mergeCell ref="RUF8:RUM8"/>
    <mergeCell ref="RUN8:RUU8"/>
    <mergeCell ref="RRD8:RRK8"/>
    <mergeCell ref="RRL8:RRS8"/>
    <mergeCell ref="RRT8:RSA8"/>
    <mergeCell ref="RSB8:RSI8"/>
    <mergeCell ref="RSJ8:RSQ8"/>
    <mergeCell ref="RSR8:RSY8"/>
    <mergeCell ref="RPH8:RPO8"/>
    <mergeCell ref="RPP8:RPW8"/>
    <mergeCell ref="RPX8:RQE8"/>
    <mergeCell ref="RQF8:RQM8"/>
    <mergeCell ref="RQN8:RQU8"/>
    <mergeCell ref="RQV8:RRC8"/>
    <mergeCell ref="RNL8:RNS8"/>
    <mergeCell ref="RNT8:ROA8"/>
    <mergeCell ref="ROB8:ROI8"/>
    <mergeCell ref="ROJ8:ROQ8"/>
    <mergeCell ref="ROR8:ROY8"/>
    <mergeCell ref="ROZ8:RPG8"/>
    <mergeCell ref="RLP8:RLW8"/>
    <mergeCell ref="RLX8:RME8"/>
    <mergeCell ref="RMF8:RMM8"/>
    <mergeCell ref="RMN8:RMU8"/>
    <mergeCell ref="RMV8:RNC8"/>
    <mergeCell ref="RND8:RNK8"/>
    <mergeCell ref="RJT8:RKA8"/>
    <mergeCell ref="RKB8:RKI8"/>
    <mergeCell ref="RKJ8:RKQ8"/>
    <mergeCell ref="RKR8:RKY8"/>
    <mergeCell ref="RKZ8:RLG8"/>
    <mergeCell ref="RLH8:RLO8"/>
    <mergeCell ref="RHX8:RIE8"/>
    <mergeCell ref="RIF8:RIM8"/>
    <mergeCell ref="RIN8:RIU8"/>
    <mergeCell ref="RIV8:RJC8"/>
    <mergeCell ref="RJD8:RJK8"/>
    <mergeCell ref="RJL8:RJS8"/>
    <mergeCell ref="RGB8:RGI8"/>
    <mergeCell ref="RGJ8:RGQ8"/>
    <mergeCell ref="RGR8:RGY8"/>
    <mergeCell ref="RGZ8:RHG8"/>
    <mergeCell ref="RHH8:RHO8"/>
    <mergeCell ref="RHP8:RHW8"/>
    <mergeCell ref="REF8:REM8"/>
    <mergeCell ref="REN8:REU8"/>
    <mergeCell ref="REV8:RFC8"/>
    <mergeCell ref="RFD8:RFK8"/>
    <mergeCell ref="RFL8:RFS8"/>
    <mergeCell ref="RFT8:RGA8"/>
    <mergeCell ref="RCJ8:RCQ8"/>
    <mergeCell ref="RCR8:RCY8"/>
    <mergeCell ref="RCZ8:RDG8"/>
    <mergeCell ref="RDH8:RDO8"/>
    <mergeCell ref="RDP8:RDW8"/>
    <mergeCell ref="RDX8:REE8"/>
    <mergeCell ref="RAN8:RAU8"/>
    <mergeCell ref="RAV8:RBC8"/>
    <mergeCell ref="RBD8:RBK8"/>
    <mergeCell ref="RBL8:RBS8"/>
    <mergeCell ref="RBT8:RCA8"/>
    <mergeCell ref="RCB8:RCI8"/>
    <mergeCell ref="QYR8:QYY8"/>
    <mergeCell ref="QYZ8:QZG8"/>
    <mergeCell ref="QZH8:QZO8"/>
    <mergeCell ref="QZP8:QZW8"/>
    <mergeCell ref="QZX8:RAE8"/>
    <mergeCell ref="RAF8:RAM8"/>
    <mergeCell ref="QWV8:QXC8"/>
    <mergeCell ref="QXD8:QXK8"/>
    <mergeCell ref="QXL8:QXS8"/>
    <mergeCell ref="QXT8:QYA8"/>
    <mergeCell ref="QYB8:QYI8"/>
    <mergeCell ref="QYJ8:QYQ8"/>
    <mergeCell ref="QUZ8:QVG8"/>
    <mergeCell ref="QVH8:QVO8"/>
    <mergeCell ref="QVP8:QVW8"/>
    <mergeCell ref="QVX8:QWE8"/>
    <mergeCell ref="QWF8:QWM8"/>
    <mergeCell ref="QWN8:QWU8"/>
    <mergeCell ref="QTD8:QTK8"/>
    <mergeCell ref="QTL8:QTS8"/>
    <mergeCell ref="QTT8:QUA8"/>
    <mergeCell ref="QUB8:QUI8"/>
    <mergeCell ref="QUJ8:QUQ8"/>
    <mergeCell ref="QUR8:QUY8"/>
    <mergeCell ref="QRH8:QRO8"/>
    <mergeCell ref="QRP8:QRW8"/>
    <mergeCell ref="QRX8:QSE8"/>
    <mergeCell ref="QSF8:QSM8"/>
    <mergeCell ref="QSN8:QSU8"/>
    <mergeCell ref="QSV8:QTC8"/>
    <mergeCell ref="QPL8:QPS8"/>
    <mergeCell ref="QPT8:QQA8"/>
    <mergeCell ref="QQB8:QQI8"/>
    <mergeCell ref="QQJ8:QQQ8"/>
    <mergeCell ref="QQR8:QQY8"/>
    <mergeCell ref="QQZ8:QRG8"/>
    <mergeCell ref="QNP8:QNW8"/>
    <mergeCell ref="QNX8:QOE8"/>
    <mergeCell ref="QOF8:QOM8"/>
    <mergeCell ref="QON8:QOU8"/>
    <mergeCell ref="QOV8:QPC8"/>
    <mergeCell ref="QPD8:QPK8"/>
    <mergeCell ref="QLT8:QMA8"/>
    <mergeCell ref="QMB8:QMI8"/>
    <mergeCell ref="QMJ8:QMQ8"/>
    <mergeCell ref="QMR8:QMY8"/>
    <mergeCell ref="QMZ8:QNG8"/>
    <mergeCell ref="QNH8:QNO8"/>
    <mergeCell ref="QJX8:QKE8"/>
    <mergeCell ref="QKF8:QKM8"/>
    <mergeCell ref="QKN8:QKU8"/>
    <mergeCell ref="QKV8:QLC8"/>
    <mergeCell ref="QLD8:QLK8"/>
    <mergeCell ref="QLL8:QLS8"/>
    <mergeCell ref="QIB8:QII8"/>
    <mergeCell ref="QIJ8:QIQ8"/>
    <mergeCell ref="QIR8:QIY8"/>
    <mergeCell ref="QIZ8:QJG8"/>
    <mergeCell ref="QJH8:QJO8"/>
    <mergeCell ref="QJP8:QJW8"/>
    <mergeCell ref="QGF8:QGM8"/>
    <mergeCell ref="QGN8:QGU8"/>
    <mergeCell ref="QGV8:QHC8"/>
    <mergeCell ref="QHD8:QHK8"/>
    <mergeCell ref="QHL8:QHS8"/>
    <mergeCell ref="QHT8:QIA8"/>
    <mergeCell ref="QEJ8:QEQ8"/>
    <mergeCell ref="QER8:QEY8"/>
    <mergeCell ref="QEZ8:QFG8"/>
    <mergeCell ref="QFH8:QFO8"/>
    <mergeCell ref="QFP8:QFW8"/>
    <mergeCell ref="QFX8:QGE8"/>
    <mergeCell ref="QCN8:QCU8"/>
    <mergeCell ref="QCV8:QDC8"/>
    <mergeCell ref="QDD8:QDK8"/>
    <mergeCell ref="QDL8:QDS8"/>
    <mergeCell ref="QDT8:QEA8"/>
    <mergeCell ref="QEB8:QEI8"/>
    <mergeCell ref="QAR8:QAY8"/>
    <mergeCell ref="QAZ8:QBG8"/>
    <mergeCell ref="QBH8:QBO8"/>
    <mergeCell ref="QBP8:QBW8"/>
    <mergeCell ref="QBX8:QCE8"/>
    <mergeCell ref="QCF8:QCM8"/>
    <mergeCell ref="PYV8:PZC8"/>
    <mergeCell ref="PZD8:PZK8"/>
    <mergeCell ref="PZL8:PZS8"/>
    <mergeCell ref="PZT8:QAA8"/>
    <mergeCell ref="QAB8:QAI8"/>
    <mergeCell ref="QAJ8:QAQ8"/>
    <mergeCell ref="PWZ8:PXG8"/>
    <mergeCell ref="PXH8:PXO8"/>
    <mergeCell ref="PXP8:PXW8"/>
    <mergeCell ref="PXX8:PYE8"/>
    <mergeCell ref="PYF8:PYM8"/>
    <mergeCell ref="PYN8:PYU8"/>
    <mergeCell ref="PVD8:PVK8"/>
    <mergeCell ref="PVL8:PVS8"/>
    <mergeCell ref="PVT8:PWA8"/>
    <mergeCell ref="PWB8:PWI8"/>
    <mergeCell ref="PWJ8:PWQ8"/>
    <mergeCell ref="PWR8:PWY8"/>
    <mergeCell ref="PTH8:PTO8"/>
    <mergeCell ref="PTP8:PTW8"/>
    <mergeCell ref="PTX8:PUE8"/>
    <mergeCell ref="PUF8:PUM8"/>
    <mergeCell ref="PUN8:PUU8"/>
    <mergeCell ref="PUV8:PVC8"/>
    <mergeCell ref="PRL8:PRS8"/>
    <mergeCell ref="PRT8:PSA8"/>
    <mergeCell ref="PSB8:PSI8"/>
    <mergeCell ref="PSJ8:PSQ8"/>
    <mergeCell ref="PSR8:PSY8"/>
    <mergeCell ref="PSZ8:PTG8"/>
    <mergeCell ref="PPP8:PPW8"/>
    <mergeCell ref="PPX8:PQE8"/>
    <mergeCell ref="PQF8:PQM8"/>
    <mergeCell ref="PQN8:PQU8"/>
    <mergeCell ref="PQV8:PRC8"/>
    <mergeCell ref="PRD8:PRK8"/>
    <mergeCell ref="PNT8:POA8"/>
    <mergeCell ref="POB8:POI8"/>
    <mergeCell ref="POJ8:POQ8"/>
    <mergeCell ref="POR8:POY8"/>
    <mergeCell ref="POZ8:PPG8"/>
    <mergeCell ref="PPH8:PPO8"/>
    <mergeCell ref="PLX8:PME8"/>
    <mergeCell ref="PMF8:PMM8"/>
    <mergeCell ref="PMN8:PMU8"/>
    <mergeCell ref="PMV8:PNC8"/>
    <mergeCell ref="PND8:PNK8"/>
    <mergeCell ref="PNL8:PNS8"/>
    <mergeCell ref="PKB8:PKI8"/>
    <mergeCell ref="PKJ8:PKQ8"/>
    <mergeCell ref="PKR8:PKY8"/>
    <mergeCell ref="PKZ8:PLG8"/>
    <mergeCell ref="PLH8:PLO8"/>
    <mergeCell ref="PLP8:PLW8"/>
    <mergeCell ref="PIF8:PIM8"/>
    <mergeCell ref="PIN8:PIU8"/>
    <mergeCell ref="PIV8:PJC8"/>
    <mergeCell ref="PJD8:PJK8"/>
    <mergeCell ref="PJL8:PJS8"/>
    <mergeCell ref="PJT8:PKA8"/>
    <mergeCell ref="PGJ8:PGQ8"/>
    <mergeCell ref="PGR8:PGY8"/>
    <mergeCell ref="PGZ8:PHG8"/>
    <mergeCell ref="PHH8:PHO8"/>
    <mergeCell ref="PHP8:PHW8"/>
    <mergeCell ref="PHX8:PIE8"/>
    <mergeCell ref="PEN8:PEU8"/>
    <mergeCell ref="PEV8:PFC8"/>
    <mergeCell ref="PFD8:PFK8"/>
    <mergeCell ref="PFL8:PFS8"/>
    <mergeCell ref="PFT8:PGA8"/>
    <mergeCell ref="PGB8:PGI8"/>
    <mergeCell ref="PCR8:PCY8"/>
    <mergeCell ref="PCZ8:PDG8"/>
    <mergeCell ref="PDH8:PDO8"/>
    <mergeCell ref="PDP8:PDW8"/>
    <mergeCell ref="PDX8:PEE8"/>
    <mergeCell ref="PEF8:PEM8"/>
    <mergeCell ref="PAV8:PBC8"/>
    <mergeCell ref="PBD8:PBK8"/>
    <mergeCell ref="PBL8:PBS8"/>
    <mergeCell ref="PBT8:PCA8"/>
    <mergeCell ref="PCB8:PCI8"/>
    <mergeCell ref="PCJ8:PCQ8"/>
    <mergeCell ref="OYZ8:OZG8"/>
    <mergeCell ref="OZH8:OZO8"/>
    <mergeCell ref="OZP8:OZW8"/>
    <mergeCell ref="OZX8:PAE8"/>
    <mergeCell ref="PAF8:PAM8"/>
    <mergeCell ref="PAN8:PAU8"/>
    <mergeCell ref="OXD8:OXK8"/>
    <mergeCell ref="OXL8:OXS8"/>
    <mergeCell ref="OXT8:OYA8"/>
    <mergeCell ref="OYB8:OYI8"/>
    <mergeCell ref="OYJ8:OYQ8"/>
    <mergeCell ref="OYR8:OYY8"/>
    <mergeCell ref="OVH8:OVO8"/>
    <mergeCell ref="OVP8:OVW8"/>
    <mergeCell ref="OVX8:OWE8"/>
    <mergeCell ref="OWF8:OWM8"/>
    <mergeCell ref="OWN8:OWU8"/>
    <mergeCell ref="OWV8:OXC8"/>
    <mergeCell ref="OTL8:OTS8"/>
    <mergeCell ref="OTT8:OUA8"/>
    <mergeCell ref="OUB8:OUI8"/>
    <mergeCell ref="OUJ8:OUQ8"/>
    <mergeCell ref="OUR8:OUY8"/>
    <mergeCell ref="OUZ8:OVG8"/>
    <mergeCell ref="ORP8:ORW8"/>
    <mergeCell ref="ORX8:OSE8"/>
    <mergeCell ref="OSF8:OSM8"/>
    <mergeCell ref="OSN8:OSU8"/>
    <mergeCell ref="OSV8:OTC8"/>
    <mergeCell ref="OTD8:OTK8"/>
    <mergeCell ref="OPT8:OQA8"/>
    <mergeCell ref="OQB8:OQI8"/>
    <mergeCell ref="OQJ8:OQQ8"/>
    <mergeCell ref="OQR8:OQY8"/>
    <mergeCell ref="OQZ8:ORG8"/>
    <mergeCell ref="ORH8:ORO8"/>
    <mergeCell ref="ONX8:OOE8"/>
    <mergeCell ref="OOF8:OOM8"/>
    <mergeCell ref="OON8:OOU8"/>
    <mergeCell ref="OOV8:OPC8"/>
    <mergeCell ref="OPD8:OPK8"/>
    <mergeCell ref="OPL8:OPS8"/>
    <mergeCell ref="OMB8:OMI8"/>
    <mergeCell ref="OMJ8:OMQ8"/>
    <mergeCell ref="OMR8:OMY8"/>
    <mergeCell ref="OMZ8:ONG8"/>
    <mergeCell ref="ONH8:ONO8"/>
    <mergeCell ref="ONP8:ONW8"/>
    <mergeCell ref="OKF8:OKM8"/>
    <mergeCell ref="OKN8:OKU8"/>
    <mergeCell ref="OKV8:OLC8"/>
    <mergeCell ref="OLD8:OLK8"/>
    <mergeCell ref="OLL8:OLS8"/>
    <mergeCell ref="OLT8:OMA8"/>
    <mergeCell ref="OIJ8:OIQ8"/>
    <mergeCell ref="OIR8:OIY8"/>
    <mergeCell ref="OIZ8:OJG8"/>
    <mergeCell ref="OJH8:OJO8"/>
    <mergeCell ref="OJP8:OJW8"/>
    <mergeCell ref="OJX8:OKE8"/>
    <mergeCell ref="OGN8:OGU8"/>
    <mergeCell ref="OGV8:OHC8"/>
    <mergeCell ref="OHD8:OHK8"/>
    <mergeCell ref="OHL8:OHS8"/>
    <mergeCell ref="OHT8:OIA8"/>
    <mergeCell ref="OIB8:OII8"/>
    <mergeCell ref="OER8:OEY8"/>
    <mergeCell ref="OEZ8:OFG8"/>
    <mergeCell ref="OFH8:OFO8"/>
    <mergeCell ref="OFP8:OFW8"/>
    <mergeCell ref="OFX8:OGE8"/>
    <mergeCell ref="OGF8:OGM8"/>
    <mergeCell ref="OCV8:ODC8"/>
    <mergeCell ref="ODD8:ODK8"/>
    <mergeCell ref="ODL8:ODS8"/>
    <mergeCell ref="ODT8:OEA8"/>
    <mergeCell ref="OEB8:OEI8"/>
    <mergeCell ref="OEJ8:OEQ8"/>
    <mergeCell ref="OAZ8:OBG8"/>
    <mergeCell ref="OBH8:OBO8"/>
    <mergeCell ref="OBP8:OBW8"/>
    <mergeCell ref="OBX8:OCE8"/>
    <mergeCell ref="OCF8:OCM8"/>
    <mergeCell ref="OCN8:OCU8"/>
    <mergeCell ref="NZD8:NZK8"/>
    <mergeCell ref="NZL8:NZS8"/>
    <mergeCell ref="NZT8:OAA8"/>
    <mergeCell ref="OAB8:OAI8"/>
    <mergeCell ref="OAJ8:OAQ8"/>
    <mergeCell ref="OAR8:OAY8"/>
    <mergeCell ref="NXH8:NXO8"/>
    <mergeCell ref="NXP8:NXW8"/>
    <mergeCell ref="NXX8:NYE8"/>
    <mergeCell ref="NYF8:NYM8"/>
    <mergeCell ref="NYN8:NYU8"/>
    <mergeCell ref="NYV8:NZC8"/>
    <mergeCell ref="NVL8:NVS8"/>
    <mergeCell ref="NVT8:NWA8"/>
    <mergeCell ref="NWB8:NWI8"/>
    <mergeCell ref="NWJ8:NWQ8"/>
    <mergeCell ref="NWR8:NWY8"/>
    <mergeCell ref="NWZ8:NXG8"/>
    <mergeCell ref="NTP8:NTW8"/>
    <mergeCell ref="NTX8:NUE8"/>
    <mergeCell ref="NUF8:NUM8"/>
    <mergeCell ref="NUN8:NUU8"/>
    <mergeCell ref="NUV8:NVC8"/>
    <mergeCell ref="NVD8:NVK8"/>
    <mergeCell ref="NRT8:NSA8"/>
    <mergeCell ref="NSB8:NSI8"/>
    <mergeCell ref="NSJ8:NSQ8"/>
    <mergeCell ref="NSR8:NSY8"/>
    <mergeCell ref="NSZ8:NTG8"/>
    <mergeCell ref="NTH8:NTO8"/>
    <mergeCell ref="NPX8:NQE8"/>
    <mergeCell ref="NQF8:NQM8"/>
    <mergeCell ref="NQN8:NQU8"/>
    <mergeCell ref="NQV8:NRC8"/>
    <mergeCell ref="NRD8:NRK8"/>
    <mergeCell ref="NRL8:NRS8"/>
    <mergeCell ref="NOB8:NOI8"/>
    <mergeCell ref="NOJ8:NOQ8"/>
    <mergeCell ref="NOR8:NOY8"/>
    <mergeCell ref="NOZ8:NPG8"/>
    <mergeCell ref="NPH8:NPO8"/>
    <mergeCell ref="NPP8:NPW8"/>
    <mergeCell ref="NMF8:NMM8"/>
    <mergeCell ref="NMN8:NMU8"/>
    <mergeCell ref="NMV8:NNC8"/>
    <mergeCell ref="NND8:NNK8"/>
    <mergeCell ref="NNL8:NNS8"/>
    <mergeCell ref="NNT8:NOA8"/>
    <mergeCell ref="NKJ8:NKQ8"/>
    <mergeCell ref="NKR8:NKY8"/>
    <mergeCell ref="NKZ8:NLG8"/>
    <mergeCell ref="NLH8:NLO8"/>
    <mergeCell ref="NLP8:NLW8"/>
    <mergeCell ref="NLX8:NME8"/>
    <mergeCell ref="NIN8:NIU8"/>
    <mergeCell ref="NIV8:NJC8"/>
    <mergeCell ref="NJD8:NJK8"/>
    <mergeCell ref="NJL8:NJS8"/>
    <mergeCell ref="NJT8:NKA8"/>
    <mergeCell ref="NKB8:NKI8"/>
    <mergeCell ref="NGR8:NGY8"/>
    <mergeCell ref="NGZ8:NHG8"/>
    <mergeCell ref="NHH8:NHO8"/>
    <mergeCell ref="NHP8:NHW8"/>
    <mergeCell ref="NHX8:NIE8"/>
    <mergeCell ref="NIF8:NIM8"/>
    <mergeCell ref="NEV8:NFC8"/>
    <mergeCell ref="NFD8:NFK8"/>
    <mergeCell ref="NFL8:NFS8"/>
    <mergeCell ref="NFT8:NGA8"/>
    <mergeCell ref="NGB8:NGI8"/>
    <mergeCell ref="NGJ8:NGQ8"/>
    <mergeCell ref="NCZ8:NDG8"/>
    <mergeCell ref="NDH8:NDO8"/>
    <mergeCell ref="NDP8:NDW8"/>
    <mergeCell ref="NDX8:NEE8"/>
    <mergeCell ref="NEF8:NEM8"/>
    <mergeCell ref="NEN8:NEU8"/>
    <mergeCell ref="NBD8:NBK8"/>
    <mergeCell ref="NBL8:NBS8"/>
    <mergeCell ref="NBT8:NCA8"/>
    <mergeCell ref="NCB8:NCI8"/>
    <mergeCell ref="NCJ8:NCQ8"/>
    <mergeCell ref="NCR8:NCY8"/>
    <mergeCell ref="MZH8:MZO8"/>
    <mergeCell ref="MZP8:MZW8"/>
    <mergeCell ref="MZX8:NAE8"/>
    <mergeCell ref="NAF8:NAM8"/>
    <mergeCell ref="NAN8:NAU8"/>
    <mergeCell ref="NAV8:NBC8"/>
    <mergeCell ref="MXL8:MXS8"/>
    <mergeCell ref="MXT8:MYA8"/>
    <mergeCell ref="MYB8:MYI8"/>
    <mergeCell ref="MYJ8:MYQ8"/>
    <mergeCell ref="MYR8:MYY8"/>
    <mergeCell ref="MYZ8:MZG8"/>
    <mergeCell ref="MVP8:MVW8"/>
    <mergeCell ref="MVX8:MWE8"/>
    <mergeCell ref="MWF8:MWM8"/>
    <mergeCell ref="MWN8:MWU8"/>
    <mergeCell ref="MWV8:MXC8"/>
    <mergeCell ref="MXD8:MXK8"/>
    <mergeCell ref="MTT8:MUA8"/>
    <mergeCell ref="MUB8:MUI8"/>
    <mergeCell ref="MUJ8:MUQ8"/>
    <mergeCell ref="MUR8:MUY8"/>
    <mergeCell ref="MUZ8:MVG8"/>
    <mergeCell ref="MVH8:MVO8"/>
    <mergeCell ref="MRX8:MSE8"/>
    <mergeCell ref="MSF8:MSM8"/>
    <mergeCell ref="MSN8:MSU8"/>
    <mergeCell ref="MSV8:MTC8"/>
    <mergeCell ref="MTD8:MTK8"/>
    <mergeCell ref="MTL8:MTS8"/>
    <mergeCell ref="MQB8:MQI8"/>
    <mergeCell ref="MQJ8:MQQ8"/>
    <mergeCell ref="MQR8:MQY8"/>
    <mergeCell ref="MQZ8:MRG8"/>
    <mergeCell ref="MRH8:MRO8"/>
    <mergeCell ref="MRP8:MRW8"/>
    <mergeCell ref="MOF8:MOM8"/>
    <mergeCell ref="MON8:MOU8"/>
    <mergeCell ref="MOV8:MPC8"/>
    <mergeCell ref="MPD8:MPK8"/>
    <mergeCell ref="MPL8:MPS8"/>
    <mergeCell ref="MPT8:MQA8"/>
    <mergeCell ref="MMJ8:MMQ8"/>
    <mergeCell ref="MMR8:MMY8"/>
    <mergeCell ref="MMZ8:MNG8"/>
    <mergeCell ref="MNH8:MNO8"/>
    <mergeCell ref="MNP8:MNW8"/>
    <mergeCell ref="MNX8:MOE8"/>
    <mergeCell ref="MKN8:MKU8"/>
    <mergeCell ref="MKV8:MLC8"/>
    <mergeCell ref="MLD8:MLK8"/>
    <mergeCell ref="MLL8:MLS8"/>
    <mergeCell ref="MLT8:MMA8"/>
    <mergeCell ref="MMB8:MMI8"/>
    <mergeCell ref="MIR8:MIY8"/>
    <mergeCell ref="MIZ8:MJG8"/>
    <mergeCell ref="MJH8:MJO8"/>
    <mergeCell ref="MJP8:MJW8"/>
    <mergeCell ref="MJX8:MKE8"/>
    <mergeCell ref="MKF8:MKM8"/>
    <mergeCell ref="MGV8:MHC8"/>
    <mergeCell ref="MHD8:MHK8"/>
    <mergeCell ref="MHL8:MHS8"/>
    <mergeCell ref="MHT8:MIA8"/>
    <mergeCell ref="MIB8:MII8"/>
    <mergeCell ref="MIJ8:MIQ8"/>
    <mergeCell ref="MEZ8:MFG8"/>
    <mergeCell ref="MFH8:MFO8"/>
    <mergeCell ref="MFP8:MFW8"/>
    <mergeCell ref="MFX8:MGE8"/>
    <mergeCell ref="MGF8:MGM8"/>
    <mergeCell ref="MGN8:MGU8"/>
    <mergeCell ref="MDD8:MDK8"/>
    <mergeCell ref="MDL8:MDS8"/>
    <mergeCell ref="MDT8:MEA8"/>
    <mergeCell ref="MEB8:MEI8"/>
    <mergeCell ref="MEJ8:MEQ8"/>
    <mergeCell ref="MER8:MEY8"/>
    <mergeCell ref="MBH8:MBO8"/>
    <mergeCell ref="MBP8:MBW8"/>
    <mergeCell ref="MBX8:MCE8"/>
    <mergeCell ref="MCF8:MCM8"/>
    <mergeCell ref="MCN8:MCU8"/>
    <mergeCell ref="MCV8:MDC8"/>
    <mergeCell ref="LZL8:LZS8"/>
    <mergeCell ref="LZT8:MAA8"/>
    <mergeCell ref="MAB8:MAI8"/>
    <mergeCell ref="MAJ8:MAQ8"/>
    <mergeCell ref="MAR8:MAY8"/>
    <mergeCell ref="MAZ8:MBG8"/>
    <mergeCell ref="LXP8:LXW8"/>
    <mergeCell ref="LXX8:LYE8"/>
    <mergeCell ref="LYF8:LYM8"/>
    <mergeCell ref="LYN8:LYU8"/>
    <mergeCell ref="LYV8:LZC8"/>
    <mergeCell ref="LZD8:LZK8"/>
    <mergeCell ref="LVT8:LWA8"/>
    <mergeCell ref="LWB8:LWI8"/>
    <mergeCell ref="LWJ8:LWQ8"/>
    <mergeCell ref="LWR8:LWY8"/>
    <mergeCell ref="LWZ8:LXG8"/>
    <mergeCell ref="LXH8:LXO8"/>
    <mergeCell ref="LTX8:LUE8"/>
    <mergeCell ref="LUF8:LUM8"/>
    <mergeCell ref="LUN8:LUU8"/>
    <mergeCell ref="LUV8:LVC8"/>
    <mergeCell ref="LVD8:LVK8"/>
    <mergeCell ref="LVL8:LVS8"/>
    <mergeCell ref="LSB8:LSI8"/>
    <mergeCell ref="LSJ8:LSQ8"/>
    <mergeCell ref="LSR8:LSY8"/>
    <mergeCell ref="LSZ8:LTG8"/>
    <mergeCell ref="LTH8:LTO8"/>
    <mergeCell ref="LTP8:LTW8"/>
    <mergeCell ref="LQF8:LQM8"/>
    <mergeCell ref="LQN8:LQU8"/>
    <mergeCell ref="LQV8:LRC8"/>
    <mergeCell ref="LRD8:LRK8"/>
    <mergeCell ref="LRL8:LRS8"/>
    <mergeCell ref="LRT8:LSA8"/>
    <mergeCell ref="LOJ8:LOQ8"/>
    <mergeCell ref="LOR8:LOY8"/>
    <mergeCell ref="LOZ8:LPG8"/>
    <mergeCell ref="LPH8:LPO8"/>
    <mergeCell ref="LPP8:LPW8"/>
    <mergeCell ref="LPX8:LQE8"/>
    <mergeCell ref="LMN8:LMU8"/>
    <mergeCell ref="LMV8:LNC8"/>
    <mergeCell ref="LND8:LNK8"/>
    <mergeCell ref="LNL8:LNS8"/>
    <mergeCell ref="LNT8:LOA8"/>
    <mergeCell ref="LOB8:LOI8"/>
    <mergeCell ref="LKR8:LKY8"/>
    <mergeCell ref="LKZ8:LLG8"/>
    <mergeCell ref="LLH8:LLO8"/>
    <mergeCell ref="LLP8:LLW8"/>
    <mergeCell ref="LLX8:LME8"/>
    <mergeCell ref="LMF8:LMM8"/>
    <mergeCell ref="LIV8:LJC8"/>
    <mergeCell ref="LJD8:LJK8"/>
    <mergeCell ref="LJL8:LJS8"/>
    <mergeCell ref="LJT8:LKA8"/>
    <mergeCell ref="LKB8:LKI8"/>
    <mergeCell ref="LKJ8:LKQ8"/>
    <mergeCell ref="LGZ8:LHG8"/>
    <mergeCell ref="LHH8:LHO8"/>
    <mergeCell ref="LHP8:LHW8"/>
    <mergeCell ref="LHX8:LIE8"/>
    <mergeCell ref="LIF8:LIM8"/>
    <mergeCell ref="LIN8:LIU8"/>
    <mergeCell ref="LFD8:LFK8"/>
    <mergeCell ref="LFL8:LFS8"/>
    <mergeCell ref="LFT8:LGA8"/>
    <mergeCell ref="LGB8:LGI8"/>
    <mergeCell ref="LGJ8:LGQ8"/>
    <mergeCell ref="LGR8:LGY8"/>
    <mergeCell ref="LDH8:LDO8"/>
    <mergeCell ref="LDP8:LDW8"/>
    <mergeCell ref="LDX8:LEE8"/>
    <mergeCell ref="LEF8:LEM8"/>
    <mergeCell ref="LEN8:LEU8"/>
    <mergeCell ref="LEV8:LFC8"/>
    <mergeCell ref="LBL8:LBS8"/>
    <mergeCell ref="LBT8:LCA8"/>
    <mergeCell ref="LCB8:LCI8"/>
    <mergeCell ref="LCJ8:LCQ8"/>
    <mergeCell ref="LCR8:LCY8"/>
    <mergeCell ref="LCZ8:LDG8"/>
    <mergeCell ref="KZP8:KZW8"/>
    <mergeCell ref="KZX8:LAE8"/>
    <mergeCell ref="LAF8:LAM8"/>
    <mergeCell ref="LAN8:LAU8"/>
    <mergeCell ref="LAV8:LBC8"/>
    <mergeCell ref="LBD8:LBK8"/>
    <mergeCell ref="KXT8:KYA8"/>
    <mergeCell ref="KYB8:KYI8"/>
    <mergeCell ref="KYJ8:KYQ8"/>
    <mergeCell ref="KYR8:KYY8"/>
    <mergeCell ref="KYZ8:KZG8"/>
    <mergeCell ref="KZH8:KZO8"/>
    <mergeCell ref="KVX8:KWE8"/>
    <mergeCell ref="KWF8:KWM8"/>
    <mergeCell ref="KWN8:KWU8"/>
    <mergeCell ref="KWV8:KXC8"/>
    <mergeCell ref="KXD8:KXK8"/>
    <mergeCell ref="KXL8:KXS8"/>
    <mergeCell ref="KUB8:KUI8"/>
    <mergeCell ref="KUJ8:KUQ8"/>
    <mergeCell ref="KUR8:KUY8"/>
    <mergeCell ref="KUZ8:KVG8"/>
    <mergeCell ref="KVH8:KVO8"/>
    <mergeCell ref="KVP8:KVW8"/>
    <mergeCell ref="KSF8:KSM8"/>
    <mergeCell ref="KSN8:KSU8"/>
    <mergeCell ref="KSV8:KTC8"/>
    <mergeCell ref="KTD8:KTK8"/>
    <mergeCell ref="KTL8:KTS8"/>
    <mergeCell ref="KTT8:KUA8"/>
    <mergeCell ref="KQJ8:KQQ8"/>
    <mergeCell ref="KQR8:KQY8"/>
    <mergeCell ref="KQZ8:KRG8"/>
    <mergeCell ref="KRH8:KRO8"/>
    <mergeCell ref="KRP8:KRW8"/>
    <mergeCell ref="KRX8:KSE8"/>
    <mergeCell ref="KON8:KOU8"/>
    <mergeCell ref="KOV8:KPC8"/>
    <mergeCell ref="KPD8:KPK8"/>
    <mergeCell ref="KPL8:KPS8"/>
    <mergeCell ref="KPT8:KQA8"/>
    <mergeCell ref="KQB8:KQI8"/>
    <mergeCell ref="KMR8:KMY8"/>
    <mergeCell ref="KMZ8:KNG8"/>
    <mergeCell ref="KNH8:KNO8"/>
    <mergeCell ref="KNP8:KNW8"/>
    <mergeCell ref="KNX8:KOE8"/>
    <mergeCell ref="KOF8:KOM8"/>
    <mergeCell ref="KKV8:KLC8"/>
    <mergeCell ref="KLD8:KLK8"/>
    <mergeCell ref="KLL8:KLS8"/>
    <mergeCell ref="KLT8:KMA8"/>
    <mergeCell ref="KMB8:KMI8"/>
    <mergeCell ref="KMJ8:KMQ8"/>
    <mergeCell ref="KIZ8:KJG8"/>
    <mergeCell ref="KJH8:KJO8"/>
    <mergeCell ref="KJP8:KJW8"/>
    <mergeCell ref="KJX8:KKE8"/>
    <mergeCell ref="KKF8:KKM8"/>
    <mergeCell ref="KKN8:KKU8"/>
    <mergeCell ref="KHD8:KHK8"/>
    <mergeCell ref="KHL8:KHS8"/>
    <mergeCell ref="KHT8:KIA8"/>
    <mergeCell ref="KIB8:KII8"/>
    <mergeCell ref="KIJ8:KIQ8"/>
    <mergeCell ref="KIR8:KIY8"/>
    <mergeCell ref="KFH8:KFO8"/>
    <mergeCell ref="KFP8:KFW8"/>
    <mergeCell ref="KFX8:KGE8"/>
    <mergeCell ref="KGF8:KGM8"/>
    <mergeCell ref="KGN8:KGU8"/>
    <mergeCell ref="KGV8:KHC8"/>
    <mergeCell ref="KDL8:KDS8"/>
    <mergeCell ref="KDT8:KEA8"/>
    <mergeCell ref="KEB8:KEI8"/>
    <mergeCell ref="KEJ8:KEQ8"/>
    <mergeCell ref="KER8:KEY8"/>
    <mergeCell ref="KEZ8:KFG8"/>
    <mergeCell ref="KBP8:KBW8"/>
    <mergeCell ref="KBX8:KCE8"/>
    <mergeCell ref="KCF8:KCM8"/>
    <mergeCell ref="KCN8:KCU8"/>
    <mergeCell ref="KCV8:KDC8"/>
    <mergeCell ref="KDD8:KDK8"/>
    <mergeCell ref="JZT8:KAA8"/>
    <mergeCell ref="KAB8:KAI8"/>
    <mergeCell ref="KAJ8:KAQ8"/>
    <mergeCell ref="KAR8:KAY8"/>
    <mergeCell ref="KAZ8:KBG8"/>
    <mergeCell ref="KBH8:KBO8"/>
    <mergeCell ref="JXX8:JYE8"/>
    <mergeCell ref="JYF8:JYM8"/>
    <mergeCell ref="JYN8:JYU8"/>
    <mergeCell ref="JYV8:JZC8"/>
    <mergeCell ref="JZD8:JZK8"/>
    <mergeCell ref="JZL8:JZS8"/>
    <mergeCell ref="JWB8:JWI8"/>
    <mergeCell ref="JWJ8:JWQ8"/>
    <mergeCell ref="JWR8:JWY8"/>
    <mergeCell ref="JWZ8:JXG8"/>
    <mergeCell ref="JXH8:JXO8"/>
    <mergeCell ref="JXP8:JXW8"/>
    <mergeCell ref="JUF8:JUM8"/>
    <mergeCell ref="JUN8:JUU8"/>
    <mergeCell ref="JUV8:JVC8"/>
    <mergeCell ref="JVD8:JVK8"/>
    <mergeCell ref="JVL8:JVS8"/>
    <mergeCell ref="JVT8:JWA8"/>
    <mergeCell ref="JSJ8:JSQ8"/>
    <mergeCell ref="JSR8:JSY8"/>
    <mergeCell ref="JSZ8:JTG8"/>
    <mergeCell ref="JTH8:JTO8"/>
    <mergeCell ref="JTP8:JTW8"/>
    <mergeCell ref="JTX8:JUE8"/>
    <mergeCell ref="JQN8:JQU8"/>
    <mergeCell ref="JQV8:JRC8"/>
    <mergeCell ref="JRD8:JRK8"/>
    <mergeCell ref="JRL8:JRS8"/>
    <mergeCell ref="JRT8:JSA8"/>
    <mergeCell ref="JSB8:JSI8"/>
    <mergeCell ref="JOR8:JOY8"/>
    <mergeCell ref="JOZ8:JPG8"/>
    <mergeCell ref="JPH8:JPO8"/>
    <mergeCell ref="JPP8:JPW8"/>
    <mergeCell ref="JPX8:JQE8"/>
    <mergeCell ref="JQF8:JQM8"/>
    <mergeCell ref="JMV8:JNC8"/>
    <mergeCell ref="JND8:JNK8"/>
    <mergeCell ref="JNL8:JNS8"/>
    <mergeCell ref="JNT8:JOA8"/>
    <mergeCell ref="JOB8:JOI8"/>
    <mergeCell ref="JOJ8:JOQ8"/>
    <mergeCell ref="JKZ8:JLG8"/>
    <mergeCell ref="JLH8:JLO8"/>
    <mergeCell ref="JLP8:JLW8"/>
    <mergeCell ref="JLX8:JME8"/>
    <mergeCell ref="JMF8:JMM8"/>
    <mergeCell ref="JMN8:JMU8"/>
    <mergeCell ref="JJD8:JJK8"/>
    <mergeCell ref="JJL8:JJS8"/>
    <mergeCell ref="JJT8:JKA8"/>
    <mergeCell ref="JKB8:JKI8"/>
    <mergeCell ref="JKJ8:JKQ8"/>
    <mergeCell ref="JKR8:JKY8"/>
    <mergeCell ref="JHH8:JHO8"/>
    <mergeCell ref="JHP8:JHW8"/>
    <mergeCell ref="JHX8:JIE8"/>
    <mergeCell ref="JIF8:JIM8"/>
    <mergeCell ref="JIN8:JIU8"/>
    <mergeCell ref="JIV8:JJC8"/>
    <mergeCell ref="JFL8:JFS8"/>
    <mergeCell ref="JFT8:JGA8"/>
    <mergeCell ref="JGB8:JGI8"/>
    <mergeCell ref="JGJ8:JGQ8"/>
    <mergeCell ref="JGR8:JGY8"/>
    <mergeCell ref="JGZ8:JHG8"/>
    <mergeCell ref="JDP8:JDW8"/>
    <mergeCell ref="JDX8:JEE8"/>
    <mergeCell ref="JEF8:JEM8"/>
    <mergeCell ref="JEN8:JEU8"/>
    <mergeCell ref="JEV8:JFC8"/>
    <mergeCell ref="JFD8:JFK8"/>
    <mergeCell ref="JBT8:JCA8"/>
    <mergeCell ref="JCB8:JCI8"/>
    <mergeCell ref="JCJ8:JCQ8"/>
    <mergeCell ref="JCR8:JCY8"/>
    <mergeCell ref="JCZ8:JDG8"/>
    <mergeCell ref="JDH8:JDO8"/>
    <mergeCell ref="IZX8:JAE8"/>
    <mergeCell ref="JAF8:JAM8"/>
    <mergeCell ref="JAN8:JAU8"/>
    <mergeCell ref="JAV8:JBC8"/>
    <mergeCell ref="JBD8:JBK8"/>
    <mergeCell ref="JBL8:JBS8"/>
    <mergeCell ref="IYB8:IYI8"/>
    <mergeCell ref="IYJ8:IYQ8"/>
    <mergeCell ref="IYR8:IYY8"/>
    <mergeCell ref="IYZ8:IZG8"/>
    <mergeCell ref="IZH8:IZO8"/>
    <mergeCell ref="IZP8:IZW8"/>
    <mergeCell ref="IWF8:IWM8"/>
    <mergeCell ref="IWN8:IWU8"/>
    <mergeCell ref="IWV8:IXC8"/>
    <mergeCell ref="IXD8:IXK8"/>
    <mergeCell ref="IXL8:IXS8"/>
    <mergeCell ref="IXT8:IYA8"/>
    <mergeCell ref="IUJ8:IUQ8"/>
    <mergeCell ref="IUR8:IUY8"/>
    <mergeCell ref="IUZ8:IVG8"/>
    <mergeCell ref="IVH8:IVO8"/>
    <mergeCell ref="IVP8:IVW8"/>
    <mergeCell ref="IVX8:IWE8"/>
    <mergeCell ref="ISN8:ISU8"/>
    <mergeCell ref="ISV8:ITC8"/>
    <mergeCell ref="ITD8:ITK8"/>
    <mergeCell ref="ITL8:ITS8"/>
    <mergeCell ref="ITT8:IUA8"/>
    <mergeCell ref="IUB8:IUI8"/>
    <mergeCell ref="IQR8:IQY8"/>
    <mergeCell ref="IQZ8:IRG8"/>
    <mergeCell ref="IRH8:IRO8"/>
    <mergeCell ref="IRP8:IRW8"/>
    <mergeCell ref="IRX8:ISE8"/>
    <mergeCell ref="ISF8:ISM8"/>
    <mergeCell ref="IOV8:IPC8"/>
    <mergeCell ref="IPD8:IPK8"/>
    <mergeCell ref="IPL8:IPS8"/>
    <mergeCell ref="IPT8:IQA8"/>
    <mergeCell ref="IQB8:IQI8"/>
    <mergeCell ref="IQJ8:IQQ8"/>
    <mergeCell ref="IMZ8:ING8"/>
    <mergeCell ref="INH8:INO8"/>
    <mergeCell ref="INP8:INW8"/>
    <mergeCell ref="INX8:IOE8"/>
    <mergeCell ref="IOF8:IOM8"/>
    <mergeCell ref="ION8:IOU8"/>
    <mergeCell ref="ILD8:ILK8"/>
    <mergeCell ref="ILL8:ILS8"/>
    <mergeCell ref="ILT8:IMA8"/>
    <mergeCell ref="IMB8:IMI8"/>
    <mergeCell ref="IMJ8:IMQ8"/>
    <mergeCell ref="IMR8:IMY8"/>
    <mergeCell ref="IJH8:IJO8"/>
    <mergeCell ref="IJP8:IJW8"/>
    <mergeCell ref="IJX8:IKE8"/>
    <mergeCell ref="IKF8:IKM8"/>
    <mergeCell ref="IKN8:IKU8"/>
    <mergeCell ref="IKV8:ILC8"/>
    <mergeCell ref="IHL8:IHS8"/>
    <mergeCell ref="IHT8:IIA8"/>
    <mergeCell ref="IIB8:III8"/>
    <mergeCell ref="IIJ8:IIQ8"/>
    <mergeCell ref="IIR8:IIY8"/>
    <mergeCell ref="IIZ8:IJG8"/>
    <mergeCell ref="IFP8:IFW8"/>
    <mergeCell ref="IFX8:IGE8"/>
    <mergeCell ref="IGF8:IGM8"/>
    <mergeCell ref="IGN8:IGU8"/>
    <mergeCell ref="IGV8:IHC8"/>
    <mergeCell ref="IHD8:IHK8"/>
    <mergeCell ref="IDT8:IEA8"/>
    <mergeCell ref="IEB8:IEI8"/>
    <mergeCell ref="IEJ8:IEQ8"/>
    <mergeCell ref="IER8:IEY8"/>
    <mergeCell ref="IEZ8:IFG8"/>
    <mergeCell ref="IFH8:IFO8"/>
    <mergeCell ref="IBX8:ICE8"/>
    <mergeCell ref="ICF8:ICM8"/>
    <mergeCell ref="ICN8:ICU8"/>
    <mergeCell ref="ICV8:IDC8"/>
    <mergeCell ref="IDD8:IDK8"/>
    <mergeCell ref="IDL8:IDS8"/>
    <mergeCell ref="IAB8:IAI8"/>
    <mergeCell ref="IAJ8:IAQ8"/>
    <mergeCell ref="IAR8:IAY8"/>
    <mergeCell ref="IAZ8:IBG8"/>
    <mergeCell ref="IBH8:IBO8"/>
    <mergeCell ref="IBP8:IBW8"/>
    <mergeCell ref="HYF8:HYM8"/>
    <mergeCell ref="HYN8:HYU8"/>
    <mergeCell ref="HYV8:HZC8"/>
    <mergeCell ref="HZD8:HZK8"/>
    <mergeCell ref="HZL8:HZS8"/>
    <mergeCell ref="HZT8:IAA8"/>
    <mergeCell ref="HWJ8:HWQ8"/>
    <mergeCell ref="HWR8:HWY8"/>
    <mergeCell ref="HWZ8:HXG8"/>
    <mergeCell ref="HXH8:HXO8"/>
    <mergeCell ref="HXP8:HXW8"/>
    <mergeCell ref="HXX8:HYE8"/>
    <mergeCell ref="HUN8:HUU8"/>
    <mergeCell ref="HUV8:HVC8"/>
    <mergeCell ref="HVD8:HVK8"/>
    <mergeCell ref="HVL8:HVS8"/>
    <mergeCell ref="HVT8:HWA8"/>
    <mergeCell ref="HWB8:HWI8"/>
    <mergeCell ref="HSR8:HSY8"/>
    <mergeCell ref="HSZ8:HTG8"/>
    <mergeCell ref="HTH8:HTO8"/>
    <mergeCell ref="HTP8:HTW8"/>
    <mergeCell ref="HTX8:HUE8"/>
    <mergeCell ref="HUF8:HUM8"/>
    <mergeCell ref="HQV8:HRC8"/>
    <mergeCell ref="HRD8:HRK8"/>
    <mergeCell ref="HRL8:HRS8"/>
    <mergeCell ref="HRT8:HSA8"/>
    <mergeCell ref="HSB8:HSI8"/>
    <mergeCell ref="HSJ8:HSQ8"/>
    <mergeCell ref="HOZ8:HPG8"/>
    <mergeCell ref="HPH8:HPO8"/>
    <mergeCell ref="HPP8:HPW8"/>
    <mergeCell ref="HPX8:HQE8"/>
    <mergeCell ref="HQF8:HQM8"/>
    <mergeCell ref="HQN8:HQU8"/>
    <mergeCell ref="HND8:HNK8"/>
    <mergeCell ref="HNL8:HNS8"/>
    <mergeCell ref="HNT8:HOA8"/>
    <mergeCell ref="HOB8:HOI8"/>
    <mergeCell ref="HOJ8:HOQ8"/>
    <mergeCell ref="HOR8:HOY8"/>
    <mergeCell ref="HLH8:HLO8"/>
    <mergeCell ref="HLP8:HLW8"/>
    <mergeCell ref="HLX8:HME8"/>
    <mergeCell ref="HMF8:HMM8"/>
    <mergeCell ref="HMN8:HMU8"/>
    <mergeCell ref="HMV8:HNC8"/>
    <mergeCell ref="HJL8:HJS8"/>
    <mergeCell ref="HJT8:HKA8"/>
    <mergeCell ref="HKB8:HKI8"/>
    <mergeCell ref="HKJ8:HKQ8"/>
    <mergeCell ref="HKR8:HKY8"/>
    <mergeCell ref="HKZ8:HLG8"/>
    <mergeCell ref="HHP8:HHW8"/>
    <mergeCell ref="HHX8:HIE8"/>
    <mergeCell ref="HIF8:HIM8"/>
    <mergeCell ref="HIN8:HIU8"/>
    <mergeCell ref="HIV8:HJC8"/>
    <mergeCell ref="HJD8:HJK8"/>
    <mergeCell ref="HFT8:HGA8"/>
    <mergeCell ref="HGB8:HGI8"/>
    <mergeCell ref="HGJ8:HGQ8"/>
    <mergeCell ref="HGR8:HGY8"/>
    <mergeCell ref="HGZ8:HHG8"/>
    <mergeCell ref="HHH8:HHO8"/>
    <mergeCell ref="HDX8:HEE8"/>
    <mergeCell ref="HEF8:HEM8"/>
    <mergeCell ref="HEN8:HEU8"/>
    <mergeCell ref="HEV8:HFC8"/>
    <mergeCell ref="HFD8:HFK8"/>
    <mergeCell ref="HFL8:HFS8"/>
    <mergeCell ref="HCB8:HCI8"/>
    <mergeCell ref="HCJ8:HCQ8"/>
    <mergeCell ref="HCR8:HCY8"/>
    <mergeCell ref="HCZ8:HDG8"/>
    <mergeCell ref="HDH8:HDO8"/>
    <mergeCell ref="HDP8:HDW8"/>
    <mergeCell ref="HAF8:HAM8"/>
    <mergeCell ref="HAN8:HAU8"/>
    <mergeCell ref="HAV8:HBC8"/>
    <mergeCell ref="HBD8:HBK8"/>
    <mergeCell ref="HBL8:HBS8"/>
    <mergeCell ref="HBT8:HCA8"/>
    <mergeCell ref="GYJ8:GYQ8"/>
    <mergeCell ref="GYR8:GYY8"/>
    <mergeCell ref="GYZ8:GZG8"/>
    <mergeCell ref="GZH8:GZO8"/>
    <mergeCell ref="GZP8:GZW8"/>
    <mergeCell ref="GZX8:HAE8"/>
    <mergeCell ref="GWN8:GWU8"/>
    <mergeCell ref="GWV8:GXC8"/>
    <mergeCell ref="GXD8:GXK8"/>
    <mergeCell ref="GXL8:GXS8"/>
    <mergeCell ref="GXT8:GYA8"/>
    <mergeCell ref="GYB8:GYI8"/>
    <mergeCell ref="GUR8:GUY8"/>
    <mergeCell ref="GUZ8:GVG8"/>
    <mergeCell ref="GVH8:GVO8"/>
    <mergeCell ref="GVP8:GVW8"/>
    <mergeCell ref="GVX8:GWE8"/>
    <mergeCell ref="GWF8:GWM8"/>
    <mergeCell ref="GSV8:GTC8"/>
    <mergeCell ref="GTD8:GTK8"/>
    <mergeCell ref="GTL8:GTS8"/>
    <mergeCell ref="GTT8:GUA8"/>
    <mergeCell ref="GUB8:GUI8"/>
    <mergeCell ref="GUJ8:GUQ8"/>
    <mergeCell ref="GQZ8:GRG8"/>
    <mergeCell ref="GRH8:GRO8"/>
    <mergeCell ref="GRP8:GRW8"/>
    <mergeCell ref="GRX8:GSE8"/>
    <mergeCell ref="GSF8:GSM8"/>
    <mergeCell ref="GSN8:GSU8"/>
    <mergeCell ref="GPD8:GPK8"/>
    <mergeCell ref="GPL8:GPS8"/>
    <mergeCell ref="GPT8:GQA8"/>
    <mergeCell ref="GQB8:GQI8"/>
    <mergeCell ref="GQJ8:GQQ8"/>
    <mergeCell ref="GQR8:GQY8"/>
    <mergeCell ref="GNH8:GNO8"/>
    <mergeCell ref="GNP8:GNW8"/>
    <mergeCell ref="GNX8:GOE8"/>
    <mergeCell ref="GOF8:GOM8"/>
    <mergeCell ref="GON8:GOU8"/>
    <mergeCell ref="GOV8:GPC8"/>
    <mergeCell ref="GLL8:GLS8"/>
    <mergeCell ref="GLT8:GMA8"/>
    <mergeCell ref="GMB8:GMI8"/>
    <mergeCell ref="GMJ8:GMQ8"/>
    <mergeCell ref="GMR8:GMY8"/>
    <mergeCell ref="GMZ8:GNG8"/>
    <mergeCell ref="GJP8:GJW8"/>
    <mergeCell ref="GJX8:GKE8"/>
    <mergeCell ref="GKF8:GKM8"/>
    <mergeCell ref="GKN8:GKU8"/>
    <mergeCell ref="GKV8:GLC8"/>
    <mergeCell ref="GLD8:GLK8"/>
    <mergeCell ref="GHT8:GIA8"/>
    <mergeCell ref="GIB8:GII8"/>
    <mergeCell ref="GIJ8:GIQ8"/>
    <mergeCell ref="GIR8:GIY8"/>
    <mergeCell ref="GIZ8:GJG8"/>
    <mergeCell ref="GJH8:GJO8"/>
    <mergeCell ref="GFX8:GGE8"/>
    <mergeCell ref="GGF8:GGM8"/>
    <mergeCell ref="GGN8:GGU8"/>
    <mergeCell ref="GGV8:GHC8"/>
    <mergeCell ref="GHD8:GHK8"/>
    <mergeCell ref="GHL8:GHS8"/>
    <mergeCell ref="GEB8:GEI8"/>
    <mergeCell ref="GEJ8:GEQ8"/>
    <mergeCell ref="GER8:GEY8"/>
    <mergeCell ref="GEZ8:GFG8"/>
    <mergeCell ref="GFH8:GFO8"/>
    <mergeCell ref="GFP8:GFW8"/>
    <mergeCell ref="GCF8:GCM8"/>
    <mergeCell ref="GCN8:GCU8"/>
    <mergeCell ref="GCV8:GDC8"/>
    <mergeCell ref="GDD8:GDK8"/>
    <mergeCell ref="GDL8:GDS8"/>
    <mergeCell ref="GDT8:GEA8"/>
    <mergeCell ref="GAJ8:GAQ8"/>
    <mergeCell ref="GAR8:GAY8"/>
    <mergeCell ref="GAZ8:GBG8"/>
    <mergeCell ref="GBH8:GBO8"/>
    <mergeCell ref="GBP8:GBW8"/>
    <mergeCell ref="GBX8:GCE8"/>
    <mergeCell ref="FYN8:FYU8"/>
    <mergeCell ref="FYV8:FZC8"/>
    <mergeCell ref="FZD8:FZK8"/>
    <mergeCell ref="FZL8:FZS8"/>
    <mergeCell ref="FZT8:GAA8"/>
    <mergeCell ref="GAB8:GAI8"/>
    <mergeCell ref="FWR8:FWY8"/>
    <mergeCell ref="FWZ8:FXG8"/>
    <mergeCell ref="FXH8:FXO8"/>
    <mergeCell ref="FXP8:FXW8"/>
    <mergeCell ref="FXX8:FYE8"/>
    <mergeCell ref="FYF8:FYM8"/>
    <mergeCell ref="FUV8:FVC8"/>
    <mergeCell ref="FVD8:FVK8"/>
    <mergeCell ref="FVL8:FVS8"/>
    <mergeCell ref="FVT8:FWA8"/>
    <mergeCell ref="FWB8:FWI8"/>
    <mergeCell ref="FWJ8:FWQ8"/>
    <mergeCell ref="FSZ8:FTG8"/>
    <mergeCell ref="FTH8:FTO8"/>
    <mergeCell ref="FTP8:FTW8"/>
    <mergeCell ref="FTX8:FUE8"/>
    <mergeCell ref="FUF8:FUM8"/>
    <mergeCell ref="FUN8:FUU8"/>
    <mergeCell ref="FRD8:FRK8"/>
    <mergeCell ref="FRL8:FRS8"/>
    <mergeCell ref="FRT8:FSA8"/>
    <mergeCell ref="FSB8:FSI8"/>
    <mergeCell ref="FSJ8:FSQ8"/>
    <mergeCell ref="FSR8:FSY8"/>
    <mergeCell ref="FPH8:FPO8"/>
    <mergeCell ref="FPP8:FPW8"/>
    <mergeCell ref="FPX8:FQE8"/>
    <mergeCell ref="FQF8:FQM8"/>
    <mergeCell ref="FQN8:FQU8"/>
    <mergeCell ref="FQV8:FRC8"/>
    <mergeCell ref="FNL8:FNS8"/>
    <mergeCell ref="FNT8:FOA8"/>
    <mergeCell ref="FOB8:FOI8"/>
    <mergeCell ref="FOJ8:FOQ8"/>
    <mergeCell ref="FOR8:FOY8"/>
    <mergeCell ref="FOZ8:FPG8"/>
    <mergeCell ref="FLP8:FLW8"/>
    <mergeCell ref="FLX8:FME8"/>
    <mergeCell ref="FMF8:FMM8"/>
    <mergeCell ref="FMN8:FMU8"/>
    <mergeCell ref="FMV8:FNC8"/>
    <mergeCell ref="FND8:FNK8"/>
    <mergeCell ref="FJT8:FKA8"/>
    <mergeCell ref="FKB8:FKI8"/>
    <mergeCell ref="FKJ8:FKQ8"/>
    <mergeCell ref="FKR8:FKY8"/>
    <mergeCell ref="FKZ8:FLG8"/>
    <mergeCell ref="FLH8:FLO8"/>
    <mergeCell ref="FHX8:FIE8"/>
    <mergeCell ref="FIF8:FIM8"/>
    <mergeCell ref="FIN8:FIU8"/>
    <mergeCell ref="FIV8:FJC8"/>
    <mergeCell ref="FJD8:FJK8"/>
    <mergeCell ref="FJL8:FJS8"/>
    <mergeCell ref="FGB8:FGI8"/>
    <mergeCell ref="FGJ8:FGQ8"/>
    <mergeCell ref="FGR8:FGY8"/>
    <mergeCell ref="FGZ8:FHG8"/>
    <mergeCell ref="FHH8:FHO8"/>
    <mergeCell ref="FHP8:FHW8"/>
    <mergeCell ref="FEF8:FEM8"/>
    <mergeCell ref="FEN8:FEU8"/>
    <mergeCell ref="FEV8:FFC8"/>
    <mergeCell ref="FFD8:FFK8"/>
    <mergeCell ref="FFL8:FFS8"/>
    <mergeCell ref="FFT8:FGA8"/>
    <mergeCell ref="FCJ8:FCQ8"/>
    <mergeCell ref="FCR8:FCY8"/>
    <mergeCell ref="FCZ8:FDG8"/>
    <mergeCell ref="FDH8:FDO8"/>
    <mergeCell ref="FDP8:FDW8"/>
    <mergeCell ref="FDX8:FEE8"/>
    <mergeCell ref="FAN8:FAU8"/>
    <mergeCell ref="FAV8:FBC8"/>
    <mergeCell ref="FBD8:FBK8"/>
    <mergeCell ref="FBL8:FBS8"/>
    <mergeCell ref="FBT8:FCA8"/>
    <mergeCell ref="FCB8:FCI8"/>
    <mergeCell ref="EYR8:EYY8"/>
    <mergeCell ref="EYZ8:EZG8"/>
    <mergeCell ref="EZH8:EZO8"/>
    <mergeCell ref="EZP8:EZW8"/>
    <mergeCell ref="EZX8:FAE8"/>
    <mergeCell ref="FAF8:FAM8"/>
    <mergeCell ref="EWV8:EXC8"/>
    <mergeCell ref="EXD8:EXK8"/>
    <mergeCell ref="EXL8:EXS8"/>
    <mergeCell ref="EXT8:EYA8"/>
    <mergeCell ref="EYB8:EYI8"/>
    <mergeCell ref="EYJ8:EYQ8"/>
    <mergeCell ref="EUZ8:EVG8"/>
    <mergeCell ref="EVH8:EVO8"/>
    <mergeCell ref="EVP8:EVW8"/>
    <mergeCell ref="EVX8:EWE8"/>
    <mergeCell ref="EWF8:EWM8"/>
    <mergeCell ref="EWN8:EWU8"/>
    <mergeCell ref="ETD8:ETK8"/>
    <mergeCell ref="ETL8:ETS8"/>
    <mergeCell ref="ETT8:EUA8"/>
    <mergeCell ref="EUB8:EUI8"/>
    <mergeCell ref="EUJ8:EUQ8"/>
    <mergeCell ref="EUR8:EUY8"/>
    <mergeCell ref="ERH8:ERO8"/>
    <mergeCell ref="ERP8:ERW8"/>
    <mergeCell ref="ERX8:ESE8"/>
    <mergeCell ref="ESF8:ESM8"/>
    <mergeCell ref="ESN8:ESU8"/>
    <mergeCell ref="ESV8:ETC8"/>
    <mergeCell ref="EPL8:EPS8"/>
    <mergeCell ref="EPT8:EQA8"/>
    <mergeCell ref="EQB8:EQI8"/>
    <mergeCell ref="EQJ8:EQQ8"/>
    <mergeCell ref="EQR8:EQY8"/>
    <mergeCell ref="EQZ8:ERG8"/>
    <mergeCell ref="ENP8:ENW8"/>
    <mergeCell ref="ENX8:EOE8"/>
    <mergeCell ref="EOF8:EOM8"/>
    <mergeCell ref="EON8:EOU8"/>
    <mergeCell ref="EOV8:EPC8"/>
    <mergeCell ref="EPD8:EPK8"/>
    <mergeCell ref="ELT8:EMA8"/>
    <mergeCell ref="EMB8:EMI8"/>
    <mergeCell ref="EMJ8:EMQ8"/>
    <mergeCell ref="EMR8:EMY8"/>
    <mergeCell ref="EMZ8:ENG8"/>
    <mergeCell ref="ENH8:ENO8"/>
    <mergeCell ref="EJX8:EKE8"/>
    <mergeCell ref="EKF8:EKM8"/>
    <mergeCell ref="EKN8:EKU8"/>
    <mergeCell ref="EKV8:ELC8"/>
    <mergeCell ref="ELD8:ELK8"/>
    <mergeCell ref="ELL8:ELS8"/>
    <mergeCell ref="EIB8:EII8"/>
    <mergeCell ref="EIJ8:EIQ8"/>
    <mergeCell ref="EIR8:EIY8"/>
    <mergeCell ref="EIZ8:EJG8"/>
    <mergeCell ref="EJH8:EJO8"/>
    <mergeCell ref="EJP8:EJW8"/>
    <mergeCell ref="EGF8:EGM8"/>
    <mergeCell ref="EGN8:EGU8"/>
    <mergeCell ref="EGV8:EHC8"/>
    <mergeCell ref="EHD8:EHK8"/>
    <mergeCell ref="EHL8:EHS8"/>
    <mergeCell ref="EHT8:EIA8"/>
    <mergeCell ref="EEJ8:EEQ8"/>
    <mergeCell ref="EER8:EEY8"/>
    <mergeCell ref="EEZ8:EFG8"/>
    <mergeCell ref="EFH8:EFO8"/>
    <mergeCell ref="EFP8:EFW8"/>
    <mergeCell ref="EFX8:EGE8"/>
    <mergeCell ref="ECN8:ECU8"/>
    <mergeCell ref="ECV8:EDC8"/>
    <mergeCell ref="EDD8:EDK8"/>
    <mergeCell ref="EDL8:EDS8"/>
    <mergeCell ref="EDT8:EEA8"/>
    <mergeCell ref="EEB8:EEI8"/>
    <mergeCell ref="EAR8:EAY8"/>
    <mergeCell ref="EAZ8:EBG8"/>
    <mergeCell ref="EBH8:EBO8"/>
    <mergeCell ref="EBP8:EBW8"/>
    <mergeCell ref="EBX8:ECE8"/>
    <mergeCell ref="ECF8:ECM8"/>
    <mergeCell ref="DYV8:DZC8"/>
    <mergeCell ref="DZD8:DZK8"/>
    <mergeCell ref="DZL8:DZS8"/>
    <mergeCell ref="DZT8:EAA8"/>
    <mergeCell ref="EAB8:EAI8"/>
    <mergeCell ref="EAJ8:EAQ8"/>
    <mergeCell ref="DWZ8:DXG8"/>
    <mergeCell ref="DXH8:DXO8"/>
    <mergeCell ref="DXP8:DXW8"/>
    <mergeCell ref="DXX8:DYE8"/>
    <mergeCell ref="DYF8:DYM8"/>
    <mergeCell ref="DYN8:DYU8"/>
    <mergeCell ref="DVD8:DVK8"/>
    <mergeCell ref="DVL8:DVS8"/>
    <mergeCell ref="DVT8:DWA8"/>
    <mergeCell ref="DWB8:DWI8"/>
    <mergeCell ref="DWJ8:DWQ8"/>
    <mergeCell ref="DWR8:DWY8"/>
    <mergeCell ref="DTH8:DTO8"/>
    <mergeCell ref="DTP8:DTW8"/>
    <mergeCell ref="DTX8:DUE8"/>
    <mergeCell ref="DUF8:DUM8"/>
    <mergeCell ref="DUN8:DUU8"/>
    <mergeCell ref="DUV8:DVC8"/>
    <mergeCell ref="DRL8:DRS8"/>
    <mergeCell ref="DRT8:DSA8"/>
    <mergeCell ref="DSB8:DSI8"/>
    <mergeCell ref="DSJ8:DSQ8"/>
    <mergeCell ref="DSR8:DSY8"/>
    <mergeCell ref="DSZ8:DTG8"/>
    <mergeCell ref="DPP8:DPW8"/>
    <mergeCell ref="DPX8:DQE8"/>
    <mergeCell ref="DQF8:DQM8"/>
    <mergeCell ref="DQN8:DQU8"/>
    <mergeCell ref="DQV8:DRC8"/>
    <mergeCell ref="DRD8:DRK8"/>
    <mergeCell ref="DNT8:DOA8"/>
    <mergeCell ref="DOB8:DOI8"/>
    <mergeCell ref="DOJ8:DOQ8"/>
    <mergeCell ref="DOR8:DOY8"/>
    <mergeCell ref="DOZ8:DPG8"/>
    <mergeCell ref="DPH8:DPO8"/>
    <mergeCell ref="DLX8:DME8"/>
    <mergeCell ref="DMF8:DMM8"/>
    <mergeCell ref="DMN8:DMU8"/>
    <mergeCell ref="DMV8:DNC8"/>
    <mergeCell ref="DND8:DNK8"/>
    <mergeCell ref="DNL8:DNS8"/>
    <mergeCell ref="DKB8:DKI8"/>
    <mergeCell ref="DKJ8:DKQ8"/>
    <mergeCell ref="DKR8:DKY8"/>
    <mergeCell ref="DKZ8:DLG8"/>
    <mergeCell ref="DLH8:DLO8"/>
    <mergeCell ref="DLP8:DLW8"/>
    <mergeCell ref="DIF8:DIM8"/>
    <mergeCell ref="DIN8:DIU8"/>
    <mergeCell ref="DIV8:DJC8"/>
    <mergeCell ref="DJD8:DJK8"/>
    <mergeCell ref="DJL8:DJS8"/>
    <mergeCell ref="DJT8:DKA8"/>
    <mergeCell ref="DGJ8:DGQ8"/>
    <mergeCell ref="DGR8:DGY8"/>
    <mergeCell ref="DGZ8:DHG8"/>
    <mergeCell ref="DHH8:DHO8"/>
    <mergeCell ref="DHP8:DHW8"/>
    <mergeCell ref="DHX8:DIE8"/>
    <mergeCell ref="DEN8:DEU8"/>
    <mergeCell ref="DEV8:DFC8"/>
    <mergeCell ref="DFD8:DFK8"/>
    <mergeCell ref="DFL8:DFS8"/>
    <mergeCell ref="DFT8:DGA8"/>
    <mergeCell ref="DGB8:DGI8"/>
    <mergeCell ref="DCR8:DCY8"/>
    <mergeCell ref="DCZ8:DDG8"/>
    <mergeCell ref="DDH8:DDO8"/>
    <mergeCell ref="DDP8:DDW8"/>
    <mergeCell ref="DDX8:DEE8"/>
    <mergeCell ref="DEF8:DEM8"/>
    <mergeCell ref="DAV8:DBC8"/>
    <mergeCell ref="DBD8:DBK8"/>
    <mergeCell ref="DBL8:DBS8"/>
    <mergeCell ref="DBT8:DCA8"/>
    <mergeCell ref="DCB8:DCI8"/>
    <mergeCell ref="DCJ8:DCQ8"/>
    <mergeCell ref="CYZ8:CZG8"/>
    <mergeCell ref="CZH8:CZO8"/>
    <mergeCell ref="CZP8:CZW8"/>
    <mergeCell ref="CZX8:DAE8"/>
    <mergeCell ref="DAF8:DAM8"/>
    <mergeCell ref="DAN8:DAU8"/>
    <mergeCell ref="CXD8:CXK8"/>
    <mergeCell ref="CXL8:CXS8"/>
    <mergeCell ref="CXT8:CYA8"/>
    <mergeCell ref="CYB8:CYI8"/>
    <mergeCell ref="CYJ8:CYQ8"/>
    <mergeCell ref="CYR8:CYY8"/>
    <mergeCell ref="CVH8:CVO8"/>
    <mergeCell ref="CVP8:CVW8"/>
    <mergeCell ref="CVX8:CWE8"/>
    <mergeCell ref="CWF8:CWM8"/>
    <mergeCell ref="CWN8:CWU8"/>
    <mergeCell ref="CWV8:CXC8"/>
    <mergeCell ref="CTL8:CTS8"/>
    <mergeCell ref="CTT8:CUA8"/>
    <mergeCell ref="CUB8:CUI8"/>
    <mergeCell ref="CUJ8:CUQ8"/>
    <mergeCell ref="CUR8:CUY8"/>
    <mergeCell ref="CUZ8:CVG8"/>
    <mergeCell ref="CRP8:CRW8"/>
    <mergeCell ref="CRX8:CSE8"/>
    <mergeCell ref="CSF8:CSM8"/>
    <mergeCell ref="CSN8:CSU8"/>
    <mergeCell ref="CSV8:CTC8"/>
    <mergeCell ref="CTD8:CTK8"/>
    <mergeCell ref="CPT8:CQA8"/>
    <mergeCell ref="CQB8:CQI8"/>
    <mergeCell ref="CQJ8:CQQ8"/>
    <mergeCell ref="CQR8:CQY8"/>
    <mergeCell ref="CQZ8:CRG8"/>
    <mergeCell ref="CRH8:CRO8"/>
    <mergeCell ref="CNX8:COE8"/>
    <mergeCell ref="COF8:COM8"/>
    <mergeCell ref="CON8:COU8"/>
    <mergeCell ref="COV8:CPC8"/>
    <mergeCell ref="CPD8:CPK8"/>
    <mergeCell ref="CPL8:CPS8"/>
    <mergeCell ref="CMB8:CMI8"/>
    <mergeCell ref="CMJ8:CMQ8"/>
    <mergeCell ref="CMR8:CMY8"/>
    <mergeCell ref="CMZ8:CNG8"/>
    <mergeCell ref="CNH8:CNO8"/>
    <mergeCell ref="CNP8:CNW8"/>
    <mergeCell ref="CKF8:CKM8"/>
    <mergeCell ref="CKN8:CKU8"/>
    <mergeCell ref="CKV8:CLC8"/>
    <mergeCell ref="CLD8:CLK8"/>
    <mergeCell ref="CLL8:CLS8"/>
    <mergeCell ref="CLT8:CMA8"/>
    <mergeCell ref="CIJ8:CIQ8"/>
    <mergeCell ref="CIR8:CIY8"/>
    <mergeCell ref="CIZ8:CJG8"/>
    <mergeCell ref="CJH8:CJO8"/>
    <mergeCell ref="CJP8:CJW8"/>
    <mergeCell ref="CJX8:CKE8"/>
    <mergeCell ref="CGN8:CGU8"/>
    <mergeCell ref="CGV8:CHC8"/>
    <mergeCell ref="CHD8:CHK8"/>
    <mergeCell ref="CHL8:CHS8"/>
    <mergeCell ref="CHT8:CIA8"/>
    <mergeCell ref="CIB8:CII8"/>
    <mergeCell ref="CER8:CEY8"/>
    <mergeCell ref="CEZ8:CFG8"/>
    <mergeCell ref="CFH8:CFO8"/>
    <mergeCell ref="CFP8:CFW8"/>
    <mergeCell ref="CFX8:CGE8"/>
    <mergeCell ref="CGF8:CGM8"/>
    <mergeCell ref="CCV8:CDC8"/>
    <mergeCell ref="CDD8:CDK8"/>
    <mergeCell ref="CDL8:CDS8"/>
    <mergeCell ref="CDT8:CEA8"/>
    <mergeCell ref="CEB8:CEI8"/>
    <mergeCell ref="CEJ8:CEQ8"/>
    <mergeCell ref="CAZ8:CBG8"/>
    <mergeCell ref="CBH8:CBO8"/>
    <mergeCell ref="CBP8:CBW8"/>
    <mergeCell ref="CBX8:CCE8"/>
    <mergeCell ref="CCF8:CCM8"/>
    <mergeCell ref="CCN8:CCU8"/>
    <mergeCell ref="BZD8:BZK8"/>
    <mergeCell ref="BZL8:BZS8"/>
    <mergeCell ref="BZT8:CAA8"/>
    <mergeCell ref="CAB8:CAI8"/>
    <mergeCell ref="CAJ8:CAQ8"/>
    <mergeCell ref="CAR8:CAY8"/>
    <mergeCell ref="BXH8:BXO8"/>
    <mergeCell ref="BXP8:BXW8"/>
    <mergeCell ref="BXX8:BYE8"/>
    <mergeCell ref="BYF8:BYM8"/>
    <mergeCell ref="BYN8:BYU8"/>
    <mergeCell ref="BYV8:BZC8"/>
    <mergeCell ref="BVL8:BVS8"/>
    <mergeCell ref="BVT8:BWA8"/>
    <mergeCell ref="BWB8:BWI8"/>
    <mergeCell ref="BWJ8:BWQ8"/>
    <mergeCell ref="BWR8:BWY8"/>
    <mergeCell ref="BWZ8:BXG8"/>
    <mergeCell ref="BTP8:BTW8"/>
    <mergeCell ref="BTX8:BUE8"/>
    <mergeCell ref="BUF8:BUM8"/>
    <mergeCell ref="BUN8:BUU8"/>
    <mergeCell ref="BUV8:BVC8"/>
    <mergeCell ref="BVD8:BVK8"/>
    <mergeCell ref="BRT8:BSA8"/>
    <mergeCell ref="BSB8:BSI8"/>
    <mergeCell ref="BSJ8:BSQ8"/>
    <mergeCell ref="BSR8:BSY8"/>
    <mergeCell ref="BSZ8:BTG8"/>
    <mergeCell ref="BTH8:BTO8"/>
    <mergeCell ref="BPX8:BQE8"/>
    <mergeCell ref="BQF8:BQM8"/>
    <mergeCell ref="BQN8:BQU8"/>
    <mergeCell ref="BQV8:BRC8"/>
    <mergeCell ref="BRD8:BRK8"/>
    <mergeCell ref="BRL8:BRS8"/>
    <mergeCell ref="BOB8:BOI8"/>
    <mergeCell ref="BOJ8:BOQ8"/>
    <mergeCell ref="BOR8:BOY8"/>
    <mergeCell ref="BOZ8:BPG8"/>
    <mergeCell ref="BPH8:BPO8"/>
    <mergeCell ref="BPP8:BPW8"/>
    <mergeCell ref="BMF8:BMM8"/>
    <mergeCell ref="BMN8:BMU8"/>
    <mergeCell ref="BMV8:BNC8"/>
    <mergeCell ref="BND8:BNK8"/>
    <mergeCell ref="BNL8:BNS8"/>
    <mergeCell ref="BNT8:BOA8"/>
    <mergeCell ref="BKJ8:BKQ8"/>
    <mergeCell ref="BKR8:BKY8"/>
    <mergeCell ref="BKZ8:BLG8"/>
    <mergeCell ref="BLH8:BLO8"/>
    <mergeCell ref="BLP8:BLW8"/>
    <mergeCell ref="BLX8:BME8"/>
    <mergeCell ref="BIN8:BIU8"/>
    <mergeCell ref="BIV8:BJC8"/>
    <mergeCell ref="BJD8:BJK8"/>
    <mergeCell ref="BJL8:BJS8"/>
    <mergeCell ref="BJT8:BKA8"/>
    <mergeCell ref="BKB8:BKI8"/>
    <mergeCell ref="BGR8:BGY8"/>
    <mergeCell ref="BGZ8:BHG8"/>
    <mergeCell ref="BHH8:BHO8"/>
    <mergeCell ref="BHP8:BHW8"/>
    <mergeCell ref="BHX8:BIE8"/>
    <mergeCell ref="BIF8:BIM8"/>
    <mergeCell ref="BEV8:BFC8"/>
    <mergeCell ref="BFD8:BFK8"/>
    <mergeCell ref="BFL8:BFS8"/>
    <mergeCell ref="BFT8:BGA8"/>
    <mergeCell ref="BGB8:BGI8"/>
    <mergeCell ref="BGJ8:BGQ8"/>
    <mergeCell ref="BCZ8:BDG8"/>
    <mergeCell ref="BDH8:BDO8"/>
    <mergeCell ref="BDP8:BDW8"/>
    <mergeCell ref="BDX8:BEE8"/>
    <mergeCell ref="BEF8:BEM8"/>
    <mergeCell ref="BEN8:BEU8"/>
    <mergeCell ref="BBD8:BBK8"/>
    <mergeCell ref="BBL8:BBS8"/>
    <mergeCell ref="BBT8:BCA8"/>
    <mergeCell ref="BCB8:BCI8"/>
    <mergeCell ref="BCJ8:BCQ8"/>
    <mergeCell ref="BCR8:BCY8"/>
    <mergeCell ref="AZH8:AZO8"/>
    <mergeCell ref="AZP8:AZW8"/>
    <mergeCell ref="AZX8:BAE8"/>
    <mergeCell ref="BAF8:BAM8"/>
    <mergeCell ref="BAN8:BAU8"/>
    <mergeCell ref="BAV8:BBC8"/>
    <mergeCell ref="AXL8:AXS8"/>
    <mergeCell ref="AXT8:AYA8"/>
    <mergeCell ref="AYB8:AYI8"/>
    <mergeCell ref="AYJ8:AYQ8"/>
    <mergeCell ref="AYR8:AYY8"/>
    <mergeCell ref="AYZ8:AZG8"/>
    <mergeCell ref="AVP8:AVW8"/>
    <mergeCell ref="AVX8:AWE8"/>
    <mergeCell ref="AWF8:AWM8"/>
    <mergeCell ref="AWN8:AWU8"/>
    <mergeCell ref="AWV8:AXC8"/>
    <mergeCell ref="AXD8:AXK8"/>
    <mergeCell ref="ATT8:AUA8"/>
    <mergeCell ref="AUB8:AUI8"/>
    <mergeCell ref="AUJ8:AUQ8"/>
    <mergeCell ref="AUR8:AUY8"/>
    <mergeCell ref="AUZ8:AVG8"/>
    <mergeCell ref="AVH8:AVO8"/>
    <mergeCell ref="ARX8:ASE8"/>
    <mergeCell ref="ASF8:ASM8"/>
    <mergeCell ref="ASN8:ASU8"/>
    <mergeCell ref="ASV8:ATC8"/>
    <mergeCell ref="ATD8:ATK8"/>
    <mergeCell ref="ATL8:ATS8"/>
    <mergeCell ref="AQB8:AQI8"/>
    <mergeCell ref="AQJ8:AQQ8"/>
    <mergeCell ref="AQR8:AQY8"/>
    <mergeCell ref="AQZ8:ARG8"/>
    <mergeCell ref="ARH8:ARO8"/>
    <mergeCell ref="ARP8:ARW8"/>
    <mergeCell ref="AOF8:AOM8"/>
    <mergeCell ref="AON8:AOU8"/>
    <mergeCell ref="AOV8:APC8"/>
    <mergeCell ref="APD8:APK8"/>
    <mergeCell ref="APL8:APS8"/>
    <mergeCell ref="APT8:AQA8"/>
    <mergeCell ref="AMJ8:AMQ8"/>
    <mergeCell ref="AMR8:AMY8"/>
    <mergeCell ref="AMZ8:ANG8"/>
    <mergeCell ref="ANH8:ANO8"/>
    <mergeCell ref="ANP8:ANW8"/>
    <mergeCell ref="ANX8:AOE8"/>
    <mergeCell ref="AKN8:AKU8"/>
    <mergeCell ref="AKV8:ALC8"/>
    <mergeCell ref="ALD8:ALK8"/>
    <mergeCell ref="ALL8:ALS8"/>
    <mergeCell ref="ALT8:AMA8"/>
    <mergeCell ref="AMB8:AMI8"/>
    <mergeCell ref="AIR8:AIY8"/>
    <mergeCell ref="AIZ8:AJG8"/>
    <mergeCell ref="AJH8:AJO8"/>
    <mergeCell ref="AJP8:AJW8"/>
    <mergeCell ref="AJX8:AKE8"/>
    <mergeCell ref="AKF8:AKM8"/>
    <mergeCell ref="AGV8:AHC8"/>
    <mergeCell ref="AHD8:AHK8"/>
    <mergeCell ref="AHL8:AHS8"/>
    <mergeCell ref="AHT8:AIA8"/>
    <mergeCell ref="AIB8:AII8"/>
    <mergeCell ref="AIJ8:AIQ8"/>
    <mergeCell ref="AEZ8:AFG8"/>
    <mergeCell ref="AFH8:AFO8"/>
    <mergeCell ref="AFP8:AFW8"/>
    <mergeCell ref="AFX8:AGE8"/>
    <mergeCell ref="AGF8:AGM8"/>
    <mergeCell ref="AGN8:AGU8"/>
    <mergeCell ref="ADD8:ADK8"/>
    <mergeCell ref="ADL8:ADS8"/>
    <mergeCell ref="ADT8:AEA8"/>
    <mergeCell ref="AEB8:AEI8"/>
    <mergeCell ref="AEJ8:AEQ8"/>
    <mergeCell ref="AER8:AEY8"/>
    <mergeCell ref="ABH8:ABO8"/>
    <mergeCell ref="ABP8:ABW8"/>
    <mergeCell ref="ABX8:ACE8"/>
    <mergeCell ref="ACF8:ACM8"/>
    <mergeCell ref="ACN8:ACU8"/>
    <mergeCell ref="ACV8:ADC8"/>
    <mergeCell ref="ZL8:ZS8"/>
    <mergeCell ref="ZT8:AAA8"/>
    <mergeCell ref="AAB8:AAI8"/>
    <mergeCell ref="AAJ8:AAQ8"/>
    <mergeCell ref="AAR8:AAY8"/>
    <mergeCell ref="AAZ8:ABG8"/>
    <mergeCell ref="XP8:XW8"/>
    <mergeCell ref="XX8:YE8"/>
    <mergeCell ref="YF8:YM8"/>
    <mergeCell ref="YN8:YU8"/>
    <mergeCell ref="YV8:ZC8"/>
    <mergeCell ref="ZD8:ZK8"/>
    <mergeCell ref="VT8:WA8"/>
    <mergeCell ref="WB8:WI8"/>
    <mergeCell ref="WJ8:WQ8"/>
    <mergeCell ref="WR8:WY8"/>
    <mergeCell ref="WZ8:XG8"/>
    <mergeCell ref="XH8:XO8"/>
    <mergeCell ref="TX8:UE8"/>
    <mergeCell ref="UF8:UM8"/>
    <mergeCell ref="UN8:UU8"/>
    <mergeCell ref="UV8:VC8"/>
    <mergeCell ref="VD8:VK8"/>
    <mergeCell ref="VL8:VS8"/>
    <mergeCell ref="SB8:SI8"/>
    <mergeCell ref="SJ8:SQ8"/>
    <mergeCell ref="SR8:SY8"/>
    <mergeCell ref="SZ8:TG8"/>
    <mergeCell ref="TH8:TO8"/>
    <mergeCell ref="TP8:TW8"/>
    <mergeCell ref="QF8:QM8"/>
    <mergeCell ref="QN8:QU8"/>
    <mergeCell ref="QV8:RC8"/>
    <mergeCell ref="RD8:RK8"/>
    <mergeCell ref="RL8:RS8"/>
    <mergeCell ref="RT8:SA8"/>
    <mergeCell ref="OJ8:OQ8"/>
    <mergeCell ref="OR8:OY8"/>
    <mergeCell ref="OZ8:PG8"/>
    <mergeCell ref="PH8:PO8"/>
    <mergeCell ref="PP8:PW8"/>
    <mergeCell ref="PX8:QE8"/>
    <mergeCell ref="MN8:MU8"/>
    <mergeCell ref="MV8:NC8"/>
    <mergeCell ref="ND8:NK8"/>
    <mergeCell ref="NL8:NS8"/>
    <mergeCell ref="NT8:OA8"/>
    <mergeCell ref="OB8:OI8"/>
    <mergeCell ref="KR8:KY8"/>
    <mergeCell ref="KZ8:LG8"/>
    <mergeCell ref="LH8:LO8"/>
    <mergeCell ref="LP8:LW8"/>
    <mergeCell ref="LX8:ME8"/>
    <mergeCell ref="MF8:MM8"/>
    <mergeCell ref="IV8:JC8"/>
    <mergeCell ref="JD8:JK8"/>
    <mergeCell ref="JL8:JS8"/>
    <mergeCell ref="JT8:KA8"/>
    <mergeCell ref="KB8:KI8"/>
    <mergeCell ref="KJ8:KQ8"/>
    <mergeCell ref="GZ8:HG8"/>
    <mergeCell ref="HH8:HO8"/>
    <mergeCell ref="HP8:HW8"/>
    <mergeCell ref="HX8:IE8"/>
    <mergeCell ref="IF8:IM8"/>
    <mergeCell ref="IN8:IU8"/>
    <mergeCell ref="FD8:FK8"/>
    <mergeCell ref="FL8:FS8"/>
    <mergeCell ref="FT8:GA8"/>
    <mergeCell ref="GB8:GI8"/>
    <mergeCell ref="GJ8:GQ8"/>
    <mergeCell ref="GR8:GY8"/>
    <mergeCell ref="DH8:DO8"/>
    <mergeCell ref="DP8:DW8"/>
    <mergeCell ref="DX8:EE8"/>
    <mergeCell ref="EF8:EM8"/>
    <mergeCell ref="EN8:EU8"/>
    <mergeCell ref="EV8:FC8"/>
    <mergeCell ref="BL8:BS8"/>
    <mergeCell ref="BT8:CA8"/>
    <mergeCell ref="CB8:CI8"/>
    <mergeCell ref="CJ8:CQ8"/>
    <mergeCell ref="CR8:CY8"/>
    <mergeCell ref="CZ8:DG8"/>
    <mergeCell ref="P8:W8"/>
    <mergeCell ref="X8:AE8"/>
    <mergeCell ref="AF8:AM8"/>
    <mergeCell ref="AN8:AU8"/>
    <mergeCell ref="AV8:BC8"/>
    <mergeCell ref="BD8:BK8"/>
    <mergeCell ref="A5:B5"/>
    <mergeCell ref="C5:D5"/>
    <mergeCell ref="E5:F5"/>
    <mergeCell ref="G5:H5"/>
    <mergeCell ref="A8:H8"/>
    <mergeCell ref="I8:O8"/>
    <mergeCell ref="A1:H1"/>
    <mergeCell ref="A3:B3"/>
    <mergeCell ref="C3:D3"/>
    <mergeCell ref="E3:F3"/>
    <mergeCell ref="G3:H3"/>
    <mergeCell ref="A4:B4"/>
    <mergeCell ref="C4:D4"/>
    <mergeCell ref="E4:F4"/>
    <mergeCell ref="G4:H4"/>
    <mergeCell ref="A33:H33"/>
    <mergeCell ref="I33:O33"/>
    <mergeCell ref="P33:W33"/>
    <mergeCell ref="X33:AE33"/>
    <mergeCell ref="AF33:AM33"/>
    <mergeCell ref="AN33:AU33"/>
    <mergeCell ref="AV33:BC33"/>
    <mergeCell ref="BD33:BK33"/>
    <mergeCell ref="BL33:BS33"/>
    <mergeCell ref="BT33:CA33"/>
    <mergeCell ref="CB33:CI33"/>
    <mergeCell ref="CJ33:CQ33"/>
    <mergeCell ref="CR33:CY33"/>
    <mergeCell ref="CZ33:DG33"/>
    <mergeCell ref="DH33:DO33"/>
    <mergeCell ref="DP33:DW33"/>
    <mergeCell ref="DX33:EE33"/>
    <mergeCell ref="EF33:EM33"/>
    <mergeCell ref="EN33:EU33"/>
    <mergeCell ref="EV33:FC33"/>
    <mergeCell ref="FD33:FK33"/>
    <mergeCell ref="FL33:FS33"/>
    <mergeCell ref="FT33:GA33"/>
    <mergeCell ref="GB33:GI33"/>
    <mergeCell ref="GJ33:GQ33"/>
    <mergeCell ref="GR33:GY33"/>
    <mergeCell ref="GZ33:HG33"/>
    <mergeCell ref="HH33:HO33"/>
    <mergeCell ref="HP33:HW33"/>
    <mergeCell ref="HX33:IE33"/>
    <mergeCell ref="IF33:IM33"/>
    <mergeCell ref="IN33:IU33"/>
    <mergeCell ref="IV33:JC33"/>
    <mergeCell ref="JD33:JK33"/>
    <mergeCell ref="JL33:JS33"/>
    <mergeCell ref="JT33:KA33"/>
    <mergeCell ref="KB33:KI33"/>
    <mergeCell ref="KJ33:KQ33"/>
    <mergeCell ref="KR33:KY33"/>
    <mergeCell ref="KZ33:LG33"/>
    <mergeCell ref="LH33:LO33"/>
    <mergeCell ref="LP33:LW33"/>
    <mergeCell ref="LX33:ME33"/>
    <mergeCell ref="MF33:MM33"/>
    <mergeCell ref="MN33:MU33"/>
    <mergeCell ref="MV33:NC33"/>
    <mergeCell ref="ND33:NK33"/>
    <mergeCell ref="NL33:NS33"/>
    <mergeCell ref="NT33:OA33"/>
    <mergeCell ref="OB33:OI33"/>
    <mergeCell ref="OJ33:OQ33"/>
    <mergeCell ref="OR33:OY33"/>
    <mergeCell ref="OZ33:PG33"/>
    <mergeCell ref="PH33:PO33"/>
    <mergeCell ref="PP33:PW33"/>
    <mergeCell ref="PX33:QE33"/>
    <mergeCell ref="QF33:QM33"/>
    <mergeCell ref="QN33:QU33"/>
    <mergeCell ref="QV33:RC33"/>
    <mergeCell ref="RD33:RK33"/>
    <mergeCell ref="RL33:RS33"/>
    <mergeCell ref="RT33:SA33"/>
    <mergeCell ref="SB33:SI33"/>
    <mergeCell ref="SJ33:SQ33"/>
    <mergeCell ref="SR33:SY33"/>
    <mergeCell ref="SZ33:TG33"/>
    <mergeCell ref="TH33:TO33"/>
    <mergeCell ref="TP33:TW33"/>
    <mergeCell ref="TX33:UE33"/>
    <mergeCell ref="UF33:UM33"/>
    <mergeCell ref="UN33:UU33"/>
    <mergeCell ref="UV33:VC33"/>
    <mergeCell ref="VD33:VK33"/>
    <mergeCell ref="VL33:VS33"/>
    <mergeCell ref="VT33:WA33"/>
    <mergeCell ref="WB33:WI33"/>
    <mergeCell ref="WJ33:WQ33"/>
    <mergeCell ref="WR33:WY33"/>
    <mergeCell ref="WZ33:XG33"/>
    <mergeCell ref="XH33:XO33"/>
    <mergeCell ref="XP33:XW33"/>
    <mergeCell ref="XX33:YE33"/>
    <mergeCell ref="YF33:YM33"/>
    <mergeCell ref="YN33:YU33"/>
    <mergeCell ref="YV33:ZC33"/>
    <mergeCell ref="ZD33:ZK33"/>
    <mergeCell ref="ZL33:ZS33"/>
    <mergeCell ref="ZT33:AAA33"/>
    <mergeCell ref="AAB33:AAI33"/>
    <mergeCell ref="AAJ33:AAQ33"/>
    <mergeCell ref="AAR33:AAY33"/>
    <mergeCell ref="AAZ33:ABG33"/>
    <mergeCell ref="ABH33:ABO33"/>
    <mergeCell ref="ABP33:ABW33"/>
    <mergeCell ref="ABX33:ACE33"/>
    <mergeCell ref="ACF33:ACM33"/>
    <mergeCell ref="ACN33:ACU33"/>
    <mergeCell ref="ACV33:ADC33"/>
    <mergeCell ref="ADD33:ADK33"/>
    <mergeCell ref="ADL33:ADS33"/>
    <mergeCell ref="ADT33:AEA33"/>
    <mergeCell ref="AEB33:AEI33"/>
    <mergeCell ref="AEJ33:AEQ33"/>
    <mergeCell ref="AER33:AEY33"/>
    <mergeCell ref="AEZ33:AFG33"/>
    <mergeCell ref="AFH33:AFO33"/>
    <mergeCell ref="AFP33:AFW33"/>
    <mergeCell ref="AFX33:AGE33"/>
    <mergeCell ref="AGF33:AGM33"/>
    <mergeCell ref="AGN33:AGU33"/>
    <mergeCell ref="AGV33:AHC33"/>
    <mergeCell ref="AHD33:AHK33"/>
    <mergeCell ref="AHL33:AHS33"/>
    <mergeCell ref="AHT33:AIA33"/>
    <mergeCell ref="AIB33:AII33"/>
    <mergeCell ref="AIJ33:AIQ33"/>
    <mergeCell ref="AIR33:AIY33"/>
    <mergeCell ref="AIZ33:AJG33"/>
    <mergeCell ref="AJH33:AJO33"/>
    <mergeCell ref="AJP33:AJW33"/>
    <mergeCell ref="AJX33:AKE33"/>
    <mergeCell ref="AKF33:AKM33"/>
    <mergeCell ref="AKN33:AKU33"/>
    <mergeCell ref="AKV33:ALC33"/>
    <mergeCell ref="ALD33:ALK33"/>
    <mergeCell ref="ALL33:ALS33"/>
    <mergeCell ref="ALT33:AMA33"/>
    <mergeCell ref="AMB33:AMI33"/>
    <mergeCell ref="AMJ33:AMQ33"/>
    <mergeCell ref="AMR33:AMY33"/>
    <mergeCell ref="AMZ33:ANG33"/>
    <mergeCell ref="ANH33:ANO33"/>
    <mergeCell ref="ANP33:ANW33"/>
    <mergeCell ref="ANX33:AOE33"/>
    <mergeCell ref="AOF33:AOM33"/>
    <mergeCell ref="AON33:AOU33"/>
    <mergeCell ref="AOV33:APC33"/>
    <mergeCell ref="APD33:APK33"/>
    <mergeCell ref="APL33:APS33"/>
    <mergeCell ref="APT33:AQA33"/>
    <mergeCell ref="AQB33:AQI33"/>
    <mergeCell ref="AQJ33:AQQ33"/>
    <mergeCell ref="AQR33:AQY33"/>
    <mergeCell ref="AQZ33:ARG33"/>
    <mergeCell ref="ARH33:ARO33"/>
    <mergeCell ref="ARP33:ARW33"/>
    <mergeCell ref="ARX33:ASE33"/>
    <mergeCell ref="ASF33:ASM33"/>
    <mergeCell ref="ASN33:ASU33"/>
    <mergeCell ref="ASV33:ATC33"/>
    <mergeCell ref="ATD33:ATK33"/>
    <mergeCell ref="ATL33:ATS33"/>
    <mergeCell ref="ATT33:AUA33"/>
    <mergeCell ref="AUB33:AUI33"/>
    <mergeCell ref="AUJ33:AUQ33"/>
    <mergeCell ref="AUR33:AUY33"/>
    <mergeCell ref="AUZ33:AVG33"/>
    <mergeCell ref="AVH33:AVO33"/>
    <mergeCell ref="AVP33:AVW33"/>
    <mergeCell ref="AVX33:AWE33"/>
    <mergeCell ref="AWF33:AWM33"/>
    <mergeCell ref="AWN33:AWU33"/>
    <mergeCell ref="AWV33:AXC33"/>
    <mergeCell ref="AXD33:AXK33"/>
    <mergeCell ref="AXL33:AXS33"/>
    <mergeCell ref="AXT33:AYA33"/>
    <mergeCell ref="AYB33:AYI33"/>
    <mergeCell ref="AYJ33:AYQ33"/>
    <mergeCell ref="AYR33:AYY33"/>
    <mergeCell ref="AYZ33:AZG33"/>
    <mergeCell ref="AZH33:AZO33"/>
    <mergeCell ref="AZP33:AZW33"/>
    <mergeCell ref="AZX33:BAE33"/>
    <mergeCell ref="BAF33:BAM33"/>
    <mergeCell ref="BAN33:BAU33"/>
    <mergeCell ref="BAV33:BBC33"/>
    <mergeCell ref="BBD33:BBK33"/>
    <mergeCell ref="BBL33:BBS33"/>
    <mergeCell ref="BBT33:BCA33"/>
    <mergeCell ref="BCB33:BCI33"/>
    <mergeCell ref="BCJ33:BCQ33"/>
    <mergeCell ref="BCR33:BCY33"/>
    <mergeCell ref="BCZ33:BDG33"/>
    <mergeCell ref="BDH33:BDO33"/>
    <mergeCell ref="BDP33:BDW33"/>
    <mergeCell ref="BDX33:BEE33"/>
    <mergeCell ref="BEF33:BEM33"/>
    <mergeCell ref="BEN33:BEU33"/>
    <mergeCell ref="BEV33:BFC33"/>
    <mergeCell ref="BFD33:BFK33"/>
    <mergeCell ref="BFL33:BFS33"/>
    <mergeCell ref="BFT33:BGA33"/>
    <mergeCell ref="BGB33:BGI33"/>
    <mergeCell ref="BGJ33:BGQ33"/>
    <mergeCell ref="BGR33:BGY33"/>
    <mergeCell ref="BGZ33:BHG33"/>
    <mergeCell ref="BHH33:BHO33"/>
    <mergeCell ref="BHP33:BHW33"/>
    <mergeCell ref="BHX33:BIE33"/>
    <mergeCell ref="BIF33:BIM33"/>
    <mergeCell ref="BIN33:BIU33"/>
    <mergeCell ref="BIV33:BJC33"/>
    <mergeCell ref="BJD33:BJK33"/>
    <mergeCell ref="BJL33:BJS33"/>
    <mergeCell ref="BJT33:BKA33"/>
    <mergeCell ref="BKB33:BKI33"/>
    <mergeCell ref="BKJ33:BKQ33"/>
    <mergeCell ref="BKR33:BKY33"/>
    <mergeCell ref="BKZ33:BLG33"/>
    <mergeCell ref="BLH33:BLO33"/>
    <mergeCell ref="BLP33:BLW33"/>
    <mergeCell ref="BLX33:BME33"/>
    <mergeCell ref="BMF33:BMM33"/>
    <mergeCell ref="BMN33:BMU33"/>
    <mergeCell ref="BMV33:BNC33"/>
    <mergeCell ref="BND33:BNK33"/>
    <mergeCell ref="BNL33:BNS33"/>
    <mergeCell ref="BNT33:BOA33"/>
    <mergeCell ref="BOB33:BOI33"/>
    <mergeCell ref="BOJ33:BOQ33"/>
    <mergeCell ref="BOR33:BOY33"/>
    <mergeCell ref="BOZ33:BPG33"/>
    <mergeCell ref="BPH33:BPO33"/>
    <mergeCell ref="BPP33:BPW33"/>
    <mergeCell ref="BPX33:BQE33"/>
    <mergeCell ref="BQF33:BQM33"/>
    <mergeCell ref="BQN33:BQU33"/>
    <mergeCell ref="BQV33:BRC33"/>
    <mergeCell ref="BRD33:BRK33"/>
    <mergeCell ref="BRL33:BRS33"/>
    <mergeCell ref="BRT33:BSA33"/>
    <mergeCell ref="BSB33:BSI33"/>
    <mergeCell ref="BSJ33:BSQ33"/>
    <mergeCell ref="BSR33:BSY33"/>
    <mergeCell ref="BSZ33:BTG33"/>
    <mergeCell ref="BTH33:BTO33"/>
    <mergeCell ref="BTP33:BTW33"/>
    <mergeCell ref="BTX33:BUE33"/>
    <mergeCell ref="BUF33:BUM33"/>
    <mergeCell ref="BUN33:BUU33"/>
    <mergeCell ref="BUV33:BVC33"/>
    <mergeCell ref="BVD33:BVK33"/>
    <mergeCell ref="BVL33:BVS33"/>
    <mergeCell ref="BVT33:BWA33"/>
    <mergeCell ref="BWB33:BWI33"/>
    <mergeCell ref="BWJ33:BWQ33"/>
    <mergeCell ref="BWR33:BWY33"/>
    <mergeCell ref="BWZ33:BXG33"/>
    <mergeCell ref="BXH33:BXO33"/>
    <mergeCell ref="BXP33:BXW33"/>
    <mergeCell ref="BXX33:BYE33"/>
    <mergeCell ref="BYF33:BYM33"/>
    <mergeCell ref="BYN33:BYU33"/>
    <mergeCell ref="BYV33:BZC33"/>
    <mergeCell ref="BZD33:BZK33"/>
    <mergeCell ref="BZL33:BZS33"/>
    <mergeCell ref="BZT33:CAA33"/>
    <mergeCell ref="CAB33:CAI33"/>
    <mergeCell ref="CAJ33:CAQ33"/>
    <mergeCell ref="CAR33:CAY33"/>
    <mergeCell ref="CAZ33:CBG33"/>
    <mergeCell ref="CBH33:CBO33"/>
    <mergeCell ref="CBP33:CBW33"/>
    <mergeCell ref="CBX33:CCE33"/>
    <mergeCell ref="CCF33:CCM33"/>
    <mergeCell ref="CCN33:CCU33"/>
    <mergeCell ref="CCV33:CDC33"/>
    <mergeCell ref="CDD33:CDK33"/>
    <mergeCell ref="CDL33:CDS33"/>
    <mergeCell ref="CDT33:CEA33"/>
    <mergeCell ref="CEB33:CEI33"/>
    <mergeCell ref="CEJ33:CEQ33"/>
    <mergeCell ref="CER33:CEY33"/>
    <mergeCell ref="CEZ33:CFG33"/>
    <mergeCell ref="CFH33:CFO33"/>
    <mergeCell ref="CFP33:CFW33"/>
    <mergeCell ref="CFX33:CGE33"/>
    <mergeCell ref="CGF33:CGM33"/>
    <mergeCell ref="CGN33:CGU33"/>
    <mergeCell ref="CGV33:CHC33"/>
    <mergeCell ref="CHD33:CHK33"/>
    <mergeCell ref="CHL33:CHS33"/>
    <mergeCell ref="CHT33:CIA33"/>
    <mergeCell ref="CIB33:CII33"/>
    <mergeCell ref="CIJ33:CIQ33"/>
    <mergeCell ref="CIR33:CIY33"/>
    <mergeCell ref="CIZ33:CJG33"/>
    <mergeCell ref="CJH33:CJO33"/>
    <mergeCell ref="CJP33:CJW33"/>
    <mergeCell ref="CJX33:CKE33"/>
    <mergeCell ref="CKF33:CKM33"/>
    <mergeCell ref="CKN33:CKU33"/>
    <mergeCell ref="CKV33:CLC33"/>
    <mergeCell ref="CLD33:CLK33"/>
    <mergeCell ref="CLL33:CLS33"/>
    <mergeCell ref="CLT33:CMA33"/>
    <mergeCell ref="CMB33:CMI33"/>
    <mergeCell ref="CMJ33:CMQ33"/>
    <mergeCell ref="CMR33:CMY33"/>
    <mergeCell ref="CMZ33:CNG33"/>
    <mergeCell ref="CNH33:CNO33"/>
    <mergeCell ref="CNP33:CNW33"/>
    <mergeCell ref="CNX33:COE33"/>
    <mergeCell ref="COF33:COM33"/>
    <mergeCell ref="CON33:COU33"/>
    <mergeCell ref="COV33:CPC33"/>
    <mergeCell ref="CPD33:CPK33"/>
    <mergeCell ref="CPL33:CPS33"/>
    <mergeCell ref="CPT33:CQA33"/>
    <mergeCell ref="CQB33:CQI33"/>
    <mergeCell ref="CQJ33:CQQ33"/>
    <mergeCell ref="CQR33:CQY33"/>
    <mergeCell ref="CQZ33:CRG33"/>
    <mergeCell ref="CRH33:CRO33"/>
    <mergeCell ref="CRP33:CRW33"/>
    <mergeCell ref="CRX33:CSE33"/>
    <mergeCell ref="CSF33:CSM33"/>
    <mergeCell ref="CSN33:CSU33"/>
    <mergeCell ref="CSV33:CTC33"/>
    <mergeCell ref="CTD33:CTK33"/>
    <mergeCell ref="CTL33:CTS33"/>
    <mergeCell ref="CTT33:CUA33"/>
    <mergeCell ref="CUB33:CUI33"/>
    <mergeCell ref="CUJ33:CUQ33"/>
    <mergeCell ref="CUR33:CUY33"/>
    <mergeCell ref="CUZ33:CVG33"/>
    <mergeCell ref="CVH33:CVO33"/>
    <mergeCell ref="CVP33:CVW33"/>
    <mergeCell ref="CVX33:CWE33"/>
    <mergeCell ref="CWF33:CWM33"/>
    <mergeCell ref="CWN33:CWU33"/>
    <mergeCell ref="CWV33:CXC33"/>
    <mergeCell ref="CXD33:CXK33"/>
    <mergeCell ref="CXL33:CXS33"/>
    <mergeCell ref="CXT33:CYA33"/>
    <mergeCell ref="CYB33:CYI33"/>
    <mergeCell ref="CYJ33:CYQ33"/>
    <mergeCell ref="CYR33:CYY33"/>
    <mergeCell ref="CYZ33:CZG33"/>
    <mergeCell ref="CZH33:CZO33"/>
    <mergeCell ref="CZP33:CZW33"/>
    <mergeCell ref="CZX33:DAE33"/>
    <mergeCell ref="DAF33:DAM33"/>
    <mergeCell ref="DAN33:DAU33"/>
    <mergeCell ref="DAV33:DBC33"/>
    <mergeCell ref="DBD33:DBK33"/>
    <mergeCell ref="DBL33:DBS33"/>
    <mergeCell ref="DBT33:DCA33"/>
    <mergeCell ref="DCB33:DCI33"/>
    <mergeCell ref="DCJ33:DCQ33"/>
    <mergeCell ref="DCR33:DCY33"/>
    <mergeCell ref="DCZ33:DDG33"/>
    <mergeCell ref="DDH33:DDO33"/>
    <mergeCell ref="DDP33:DDW33"/>
    <mergeCell ref="DDX33:DEE33"/>
    <mergeCell ref="DEF33:DEM33"/>
    <mergeCell ref="DEN33:DEU33"/>
    <mergeCell ref="DEV33:DFC33"/>
    <mergeCell ref="DFD33:DFK33"/>
    <mergeCell ref="DFL33:DFS33"/>
    <mergeCell ref="DFT33:DGA33"/>
    <mergeCell ref="DGB33:DGI33"/>
    <mergeCell ref="DGJ33:DGQ33"/>
    <mergeCell ref="DGR33:DGY33"/>
    <mergeCell ref="DGZ33:DHG33"/>
    <mergeCell ref="DHH33:DHO33"/>
    <mergeCell ref="DHP33:DHW33"/>
    <mergeCell ref="DHX33:DIE33"/>
    <mergeCell ref="DIF33:DIM33"/>
    <mergeCell ref="DIN33:DIU33"/>
    <mergeCell ref="DIV33:DJC33"/>
    <mergeCell ref="DJD33:DJK33"/>
    <mergeCell ref="DJL33:DJS33"/>
    <mergeCell ref="DJT33:DKA33"/>
    <mergeCell ref="DKB33:DKI33"/>
    <mergeCell ref="DKJ33:DKQ33"/>
    <mergeCell ref="DKR33:DKY33"/>
    <mergeCell ref="DKZ33:DLG33"/>
    <mergeCell ref="DLH33:DLO33"/>
    <mergeCell ref="DLP33:DLW33"/>
    <mergeCell ref="DLX33:DME33"/>
    <mergeCell ref="DMF33:DMM33"/>
    <mergeCell ref="DMN33:DMU33"/>
    <mergeCell ref="DMV33:DNC33"/>
    <mergeCell ref="DND33:DNK33"/>
    <mergeCell ref="DNL33:DNS33"/>
    <mergeCell ref="DNT33:DOA33"/>
    <mergeCell ref="DOB33:DOI33"/>
    <mergeCell ref="DOJ33:DOQ33"/>
    <mergeCell ref="DOR33:DOY33"/>
    <mergeCell ref="DOZ33:DPG33"/>
    <mergeCell ref="DPH33:DPO33"/>
    <mergeCell ref="DPP33:DPW33"/>
    <mergeCell ref="DPX33:DQE33"/>
    <mergeCell ref="DQF33:DQM33"/>
    <mergeCell ref="DQN33:DQU33"/>
    <mergeCell ref="DQV33:DRC33"/>
    <mergeCell ref="DRD33:DRK33"/>
    <mergeCell ref="DRL33:DRS33"/>
    <mergeCell ref="DRT33:DSA33"/>
    <mergeCell ref="DSB33:DSI33"/>
    <mergeCell ref="DSJ33:DSQ33"/>
    <mergeCell ref="DSR33:DSY33"/>
    <mergeCell ref="DSZ33:DTG33"/>
    <mergeCell ref="DTH33:DTO33"/>
    <mergeCell ref="DTP33:DTW33"/>
    <mergeCell ref="DTX33:DUE33"/>
    <mergeCell ref="DUF33:DUM33"/>
    <mergeCell ref="DUN33:DUU33"/>
    <mergeCell ref="DUV33:DVC33"/>
    <mergeCell ref="DVD33:DVK33"/>
    <mergeCell ref="DVL33:DVS33"/>
    <mergeCell ref="DVT33:DWA33"/>
    <mergeCell ref="DWB33:DWI33"/>
    <mergeCell ref="DWJ33:DWQ33"/>
    <mergeCell ref="DWR33:DWY33"/>
    <mergeCell ref="DWZ33:DXG33"/>
    <mergeCell ref="DXH33:DXO33"/>
    <mergeCell ref="DXP33:DXW33"/>
    <mergeCell ref="DXX33:DYE33"/>
    <mergeCell ref="DYF33:DYM33"/>
    <mergeCell ref="DYN33:DYU33"/>
    <mergeCell ref="DYV33:DZC33"/>
    <mergeCell ref="DZD33:DZK33"/>
    <mergeCell ref="DZL33:DZS33"/>
    <mergeCell ref="DZT33:EAA33"/>
    <mergeCell ref="EAB33:EAI33"/>
    <mergeCell ref="EAJ33:EAQ33"/>
    <mergeCell ref="EAR33:EAY33"/>
    <mergeCell ref="EAZ33:EBG33"/>
    <mergeCell ref="EBH33:EBO33"/>
    <mergeCell ref="EBP33:EBW33"/>
    <mergeCell ref="EBX33:ECE33"/>
    <mergeCell ref="ECF33:ECM33"/>
    <mergeCell ref="ECN33:ECU33"/>
    <mergeCell ref="ECV33:EDC33"/>
    <mergeCell ref="EDD33:EDK33"/>
    <mergeCell ref="EDL33:EDS33"/>
    <mergeCell ref="EDT33:EEA33"/>
    <mergeCell ref="EEB33:EEI33"/>
    <mergeCell ref="EEJ33:EEQ33"/>
    <mergeCell ref="EER33:EEY33"/>
    <mergeCell ref="EEZ33:EFG33"/>
    <mergeCell ref="EFH33:EFO33"/>
    <mergeCell ref="EFP33:EFW33"/>
    <mergeCell ref="EFX33:EGE33"/>
    <mergeCell ref="EGF33:EGM33"/>
    <mergeCell ref="EGN33:EGU33"/>
    <mergeCell ref="EGV33:EHC33"/>
    <mergeCell ref="EHD33:EHK33"/>
    <mergeCell ref="EHL33:EHS33"/>
    <mergeCell ref="EHT33:EIA33"/>
    <mergeCell ref="EIB33:EII33"/>
    <mergeCell ref="EIJ33:EIQ33"/>
    <mergeCell ref="EIR33:EIY33"/>
    <mergeCell ref="EIZ33:EJG33"/>
    <mergeCell ref="EJH33:EJO33"/>
    <mergeCell ref="EJP33:EJW33"/>
    <mergeCell ref="EJX33:EKE33"/>
    <mergeCell ref="EKF33:EKM33"/>
    <mergeCell ref="EKN33:EKU33"/>
    <mergeCell ref="EKV33:ELC33"/>
    <mergeCell ref="ELD33:ELK33"/>
    <mergeCell ref="ELL33:ELS33"/>
    <mergeCell ref="ELT33:EMA33"/>
    <mergeCell ref="EMB33:EMI33"/>
    <mergeCell ref="EMJ33:EMQ33"/>
    <mergeCell ref="EMR33:EMY33"/>
    <mergeCell ref="EMZ33:ENG33"/>
    <mergeCell ref="ENH33:ENO33"/>
    <mergeCell ref="ENP33:ENW33"/>
    <mergeCell ref="ENX33:EOE33"/>
    <mergeCell ref="EOF33:EOM33"/>
    <mergeCell ref="EON33:EOU33"/>
    <mergeCell ref="EOV33:EPC33"/>
    <mergeCell ref="EPD33:EPK33"/>
    <mergeCell ref="EPL33:EPS33"/>
    <mergeCell ref="EPT33:EQA33"/>
    <mergeCell ref="EQB33:EQI33"/>
    <mergeCell ref="EQJ33:EQQ33"/>
    <mergeCell ref="EQR33:EQY33"/>
    <mergeCell ref="EQZ33:ERG33"/>
    <mergeCell ref="ERH33:ERO33"/>
    <mergeCell ref="ERP33:ERW33"/>
    <mergeCell ref="ERX33:ESE33"/>
    <mergeCell ref="ESF33:ESM33"/>
    <mergeCell ref="ESN33:ESU33"/>
    <mergeCell ref="ESV33:ETC33"/>
    <mergeCell ref="ETD33:ETK33"/>
    <mergeCell ref="ETL33:ETS33"/>
    <mergeCell ref="ETT33:EUA33"/>
    <mergeCell ref="EUB33:EUI33"/>
    <mergeCell ref="EUJ33:EUQ33"/>
    <mergeCell ref="EUR33:EUY33"/>
    <mergeCell ref="EUZ33:EVG33"/>
    <mergeCell ref="EVH33:EVO33"/>
    <mergeCell ref="EVP33:EVW33"/>
    <mergeCell ref="EVX33:EWE33"/>
    <mergeCell ref="EWF33:EWM33"/>
    <mergeCell ref="EWN33:EWU33"/>
    <mergeCell ref="EWV33:EXC33"/>
    <mergeCell ref="EXD33:EXK33"/>
    <mergeCell ref="EXL33:EXS33"/>
    <mergeCell ref="EXT33:EYA33"/>
    <mergeCell ref="EYB33:EYI33"/>
    <mergeCell ref="EYJ33:EYQ33"/>
    <mergeCell ref="EYR33:EYY33"/>
    <mergeCell ref="EYZ33:EZG33"/>
    <mergeCell ref="EZH33:EZO33"/>
    <mergeCell ref="EZP33:EZW33"/>
    <mergeCell ref="EZX33:FAE33"/>
    <mergeCell ref="FAF33:FAM33"/>
    <mergeCell ref="FAN33:FAU33"/>
    <mergeCell ref="FAV33:FBC33"/>
    <mergeCell ref="FBD33:FBK33"/>
    <mergeCell ref="FBL33:FBS33"/>
    <mergeCell ref="FBT33:FCA33"/>
    <mergeCell ref="FCB33:FCI33"/>
    <mergeCell ref="FCJ33:FCQ33"/>
    <mergeCell ref="FCR33:FCY33"/>
    <mergeCell ref="FCZ33:FDG33"/>
    <mergeCell ref="FDH33:FDO33"/>
    <mergeCell ref="FDP33:FDW33"/>
    <mergeCell ref="FDX33:FEE33"/>
    <mergeCell ref="FEF33:FEM33"/>
    <mergeCell ref="FEN33:FEU33"/>
    <mergeCell ref="FEV33:FFC33"/>
    <mergeCell ref="FFD33:FFK33"/>
    <mergeCell ref="FFL33:FFS33"/>
    <mergeCell ref="FFT33:FGA33"/>
    <mergeCell ref="FGB33:FGI33"/>
    <mergeCell ref="FGJ33:FGQ33"/>
    <mergeCell ref="FGR33:FGY33"/>
    <mergeCell ref="FGZ33:FHG33"/>
    <mergeCell ref="FHH33:FHO33"/>
    <mergeCell ref="FHP33:FHW33"/>
    <mergeCell ref="FHX33:FIE33"/>
    <mergeCell ref="FIF33:FIM33"/>
    <mergeCell ref="FIN33:FIU33"/>
    <mergeCell ref="FIV33:FJC33"/>
    <mergeCell ref="FJD33:FJK33"/>
    <mergeCell ref="FJL33:FJS33"/>
    <mergeCell ref="FJT33:FKA33"/>
    <mergeCell ref="FKB33:FKI33"/>
    <mergeCell ref="FKJ33:FKQ33"/>
    <mergeCell ref="FKR33:FKY33"/>
    <mergeCell ref="FKZ33:FLG33"/>
    <mergeCell ref="FLH33:FLO33"/>
    <mergeCell ref="FLP33:FLW33"/>
    <mergeCell ref="FLX33:FME33"/>
    <mergeCell ref="FMF33:FMM33"/>
    <mergeCell ref="FMN33:FMU33"/>
    <mergeCell ref="FMV33:FNC33"/>
    <mergeCell ref="FND33:FNK33"/>
    <mergeCell ref="FNL33:FNS33"/>
    <mergeCell ref="FNT33:FOA33"/>
    <mergeCell ref="FOB33:FOI33"/>
    <mergeCell ref="FOJ33:FOQ33"/>
    <mergeCell ref="FOR33:FOY33"/>
    <mergeCell ref="FOZ33:FPG33"/>
    <mergeCell ref="FPH33:FPO33"/>
    <mergeCell ref="FPP33:FPW33"/>
    <mergeCell ref="FPX33:FQE33"/>
    <mergeCell ref="FQF33:FQM33"/>
    <mergeCell ref="FQN33:FQU33"/>
    <mergeCell ref="FQV33:FRC33"/>
    <mergeCell ref="FRD33:FRK33"/>
    <mergeCell ref="FRL33:FRS33"/>
    <mergeCell ref="FRT33:FSA33"/>
    <mergeCell ref="FSB33:FSI33"/>
    <mergeCell ref="FSJ33:FSQ33"/>
    <mergeCell ref="FSR33:FSY33"/>
    <mergeCell ref="FSZ33:FTG33"/>
    <mergeCell ref="FTH33:FTO33"/>
    <mergeCell ref="FTP33:FTW33"/>
    <mergeCell ref="FTX33:FUE33"/>
    <mergeCell ref="FUF33:FUM33"/>
    <mergeCell ref="FUN33:FUU33"/>
    <mergeCell ref="FUV33:FVC33"/>
    <mergeCell ref="FVD33:FVK33"/>
    <mergeCell ref="FVL33:FVS33"/>
    <mergeCell ref="FVT33:FWA33"/>
    <mergeCell ref="FWB33:FWI33"/>
    <mergeCell ref="FWJ33:FWQ33"/>
    <mergeCell ref="FWR33:FWY33"/>
    <mergeCell ref="FWZ33:FXG33"/>
    <mergeCell ref="FXH33:FXO33"/>
    <mergeCell ref="FXP33:FXW33"/>
    <mergeCell ref="FXX33:FYE33"/>
    <mergeCell ref="FYF33:FYM33"/>
    <mergeCell ref="FYN33:FYU33"/>
    <mergeCell ref="FYV33:FZC33"/>
    <mergeCell ref="FZD33:FZK33"/>
    <mergeCell ref="FZL33:FZS33"/>
    <mergeCell ref="FZT33:GAA33"/>
    <mergeCell ref="GAB33:GAI33"/>
    <mergeCell ref="GAJ33:GAQ33"/>
    <mergeCell ref="GAR33:GAY33"/>
    <mergeCell ref="GAZ33:GBG33"/>
    <mergeCell ref="GBH33:GBO33"/>
    <mergeCell ref="GBP33:GBW33"/>
    <mergeCell ref="GBX33:GCE33"/>
    <mergeCell ref="GCF33:GCM33"/>
    <mergeCell ref="GCN33:GCU33"/>
    <mergeCell ref="GCV33:GDC33"/>
    <mergeCell ref="GDD33:GDK33"/>
    <mergeCell ref="GDL33:GDS33"/>
    <mergeCell ref="GDT33:GEA33"/>
    <mergeCell ref="GEB33:GEI33"/>
    <mergeCell ref="GEJ33:GEQ33"/>
    <mergeCell ref="GER33:GEY33"/>
    <mergeCell ref="GEZ33:GFG33"/>
    <mergeCell ref="GFH33:GFO33"/>
    <mergeCell ref="GFP33:GFW33"/>
    <mergeCell ref="GFX33:GGE33"/>
    <mergeCell ref="GGF33:GGM33"/>
    <mergeCell ref="GGN33:GGU33"/>
    <mergeCell ref="GGV33:GHC33"/>
    <mergeCell ref="GHD33:GHK33"/>
    <mergeCell ref="GHL33:GHS33"/>
    <mergeCell ref="GHT33:GIA33"/>
    <mergeCell ref="GIB33:GII33"/>
    <mergeCell ref="GIJ33:GIQ33"/>
    <mergeCell ref="GIR33:GIY33"/>
    <mergeCell ref="GIZ33:GJG33"/>
    <mergeCell ref="GJH33:GJO33"/>
    <mergeCell ref="GJP33:GJW33"/>
    <mergeCell ref="GJX33:GKE33"/>
    <mergeCell ref="GKF33:GKM33"/>
    <mergeCell ref="GKN33:GKU33"/>
    <mergeCell ref="GKV33:GLC33"/>
    <mergeCell ref="GLD33:GLK33"/>
    <mergeCell ref="GLL33:GLS33"/>
    <mergeCell ref="GLT33:GMA33"/>
    <mergeCell ref="GMB33:GMI33"/>
    <mergeCell ref="GMJ33:GMQ33"/>
    <mergeCell ref="GMR33:GMY33"/>
    <mergeCell ref="GMZ33:GNG33"/>
    <mergeCell ref="GNH33:GNO33"/>
    <mergeCell ref="GNP33:GNW33"/>
    <mergeCell ref="GNX33:GOE33"/>
    <mergeCell ref="GOF33:GOM33"/>
    <mergeCell ref="GON33:GOU33"/>
    <mergeCell ref="GOV33:GPC33"/>
    <mergeCell ref="GPD33:GPK33"/>
    <mergeCell ref="GPL33:GPS33"/>
    <mergeCell ref="GPT33:GQA33"/>
    <mergeCell ref="GQB33:GQI33"/>
    <mergeCell ref="GQJ33:GQQ33"/>
    <mergeCell ref="GQR33:GQY33"/>
    <mergeCell ref="GQZ33:GRG33"/>
    <mergeCell ref="GRH33:GRO33"/>
    <mergeCell ref="GRP33:GRW33"/>
    <mergeCell ref="GRX33:GSE33"/>
    <mergeCell ref="GSF33:GSM33"/>
    <mergeCell ref="GSN33:GSU33"/>
    <mergeCell ref="GSV33:GTC33"/>
    <mergeCell ref="GTD33:GTK33"/>
    <mergeCell ref="GTL33:GTS33"/>
    <mergeCell ref="GTT33:GUA33"/>
    <mergeCell ref="GUB33:GUI33"/>
    <mergeCell ref="GUJ33:GUQ33"/>
    <mergeCell ref="GUR33:GUY33"/>
    <mergeCell ref="GUZ33:GVG33"/>
    <mergeCell ref="GVH33:GVO33"/>
    <mergeCell ref="GVP33:GVW33"/>
    <mergeCell ref="GVX33:GWE33"/>
    <mergeCell ref="GWF33:GWM33"/>
    <mergeCell ref="GWN33:GWU33"/>
    <mergeCell ref="GWV33:GXC33"/>
    <mergeCell ref="GXD33:GXK33"/>
    <mergeCell ref="GXL33:GXS33"/>
    <mergeCell ref="GXT33:GYA33"/>
    <mergeCell ref="GYB33:GYI33"/>
    <mergeCell ref="GYJ33:GYQ33"/>
    <mergeCell ref="GYR33:GYY33"/>
    <mergeCell ref="GYZ33:GZG33"/>
    <mergeCell ref="GZH33:GZO33"/>
    <mergeCell ref="GZP33:GZW33"/>
    <mergeCell ref="GZX33:HAE33"/>
    <mergeCell ref="HAF33:HAM33"/>
    <mergeCell ref="HAN33:HAU33"/>
    <mergeCell ref="HAV33:HBC33"/>
    <mergeCell ref="HBD33:HBK33"/>
    <mergeCell ref="HBL33:HBS33"/>
    <mergeCell ref="HBT33:HCA33"/>
    <mergeCell ref="HCB33:HCI33"/>
    <mergeCell ref="HCJ33:HCQ33"/>
    <mergeCell ref="HCR33:HCY33"/>
    <mergeCell ref="HCZ33:HDG33"/>
    <mergeCell ref="HDH33:HDO33"/>
    <mergeCell ref="HDP33:HDW33"/>
    <mergeCell ref="HDX33:HEE33"/>
    <mergeCell ref="HEF33:HEM33"/>
    <mergeCell ref="HEN33:HEU33"/>
    <mergeCell ref="HEV33:HFC33"/>
    <mergeCell ref="HFD33:HFK33"/>
    <mergeCell ref="HFL33:HFS33"/>
    <mergeCell ref="HFT33:HGA33"/>
    <mergeCell ref="HGB33:HGI33"/>
    <mergeCell ref="HGJ33:HGQ33"/>
    <mergeCell ref="HGR33:HGY33"/>
    <mergeCell ref="HGZ33:HHG33"/>
    <mergeCell ref="HHH33:HHO33"/>
    <mergeCell ref="HHP33:HHW33"/>
    <mergeCell ref="HHX33:HIE33"/>
    <mergeCell ref="HIF33:HIM33"/>
    <mergeCell ref="HIN33:HIU33"/>
    <mergeCell ref="HIV33:HJC33"/>
    <mergeCell ref="HJD33:HJK33"/>
    <mergeCell ref="HJL33:HJS33"/>
    <mergeCell ref="HJT33:HKA33"/>
    <mergeCell ref="HKB33:HKI33"/>
    <mergeCell ref="HKJ33:HKQ33"/>
    <mergeCell ref="HKR33:HKY33"/>
    <mergeCell ref="HKZ33:HLG33"/>
    <mergeCell ref="HLH33:HLO33"/>
    <mergeCell ref="HLP33:HLW33"/>
    <mergeCell ref="HLX33:HME33"/>
    <mergeCell ref="HMF33:HMM33"/>
    <mergeCell ref="HMN33:HMU33"/>
    <mergeCell ref="HMV33:HNC33"/>
    <mergeCell ref="HND33:HNK33"/>
    <mergeCell ref="HNL33:HNS33"/>
    <mergeCell ref="HNT33:HOA33"/>
    <mergeCell ref="HOB33:HOI33"/>
    <mergeCell ref="HOJ33:HOQ33"/>
    <mergeCell ref="HOR33:HOY33"/>
    <mergeCell ref="HOZ33:HPG33"/>
    <mergeCell ref="HPH33:HPO33"/>
    <mergeCell ref="HPP33:HPW33"/>
    <mergeCell ref="HPX33:HQE33"/>
    <mergeCell ref="HQF33:HQM33"/>
    <mergeCell ref="HQN33:HQU33"/>
    <mergeCell ref="HQV33:HRC33"/>
    <mergeCell ref="HRD33:HRK33"/>
    <mergeCell ref="HRL33:HRS33"/>
    <mergeCell ref="HRT33:HSA33"/>
    <mergeCell ref="HSB33:HSI33"/>
    <mergeCell ref="HSJ33:HSQ33"/>
    <mergeCell ref="HSR33:HSY33"/>
    <mergeCell ref="HSZ33:HTG33"/>
    <mergeCell ref="HTH33:HTO33"/>
    <mergeCell ref="HTP33:HTW33"/>
    <mergeCell ref="HTX33:HUE33"/>
    <mergeCell ref="HUF33:HUM33"/>
    <mergeCell ref="HUN33:HUU33"/>
    <mergeCell ref="HUV33:HVC33"/>
    <mergeCell ref="HVD33:HVK33"/>
    <mergeCell ref="HVL33:HVS33"/>
    <mergeCell ref="HVT33:HWA33"/>
    <mergeCell ref="HWB33:HWI33"/>
    <mergeCell ref="HWJ33:HWQ33"/>
    <mergeCell ref="HWR33:HWY33"/>
    <mergeCell ref="HWZ33:HXG33"/>
    <mergeCell ref="HXH33:HXO33"/>
    <mergeCell ref="HXP33:HXW33"/>
    <mergeCell ref="HXX33:HYE33"/>
    <mergeCell ref="HYF33:HYM33"/>
    <mergeCell ref="HYN33:HYU33"/>
    <mergeCell ref="HYV33:HZC33"/>
    <mergeCell ref="HZD33:HZK33"/>
    <mergeCell ref="HZL33:HZS33"/>
    <mergeCell ref="HZT33:IAA33"/>
    <mergeCell ref="IAB33:IAI33"/>
    <mergeCell ref="IAJ33:IAQ33"/>
    <mergeCell ref="IAR33:IAY33"/>
    <mergeCell ref="IAZ33:IBG33"/>
    <mergeCell ref="IBH33:IBO33"/>
    <mergeCell ref="IBP33:IBW33"/>
    <mergeCell ref="IBX33:ICE33"/>
    <mergeCell ref="ICF33:ICM33"/>
    <mergeCell ref="ICN33:ICU33"/>
    <mergeCell ref="ICV33:IDC33"/>
    <mergeCell ref="IDD33:IDK33"/>
    <mergeCell ref="IDL33:IDS33"/>
    <mergeCell ref="IDT33:IEA33"/>
    <mergeCell ref="IEB33:IEI33"/>
    <mergeCell ref="IEJ33:IEQ33"/>
    <mergeCell ref="IER33:IEY33"/>
    <mergeCell ref="IEZ33:IFG33"/>
    <mergeCell ref="IFH33:IFO33"/>
    <mergeCell ref="IFP33:IFW33"/>
    <mergeCell ref="IFX33:IGE33"/>
    <mergeCell ref="IGF33:IGM33"/>
    <mergeCell ref="IGN33:IGU33"/>
    <mergeCell ref="IGV33:IHC33"/>
    <mergeCell ref="IHD33:IHK33"/>
    <mergeCell ref="IHL33:IHS33"/>
    <mergeCell ref="IHT33:IIA33"/>
    <mergeCell ref="IIB33:III33"/>
    <mergeCell ref="IIJ33:IIQ33"/>
    <mergeCell ref="IIR33:IIY33"/>
    <mergeCell ref="IIZ33:IJG33"/>
    <mergeCell ref="IJH33:IJO33"/>
    <mergeCell ref="IJP33:IJW33"/>
    <mergeCell ref="IJX33:IKE33"/>
    <mergeCell ref="IKF33:IKM33"/>
    <mergeCell ref="IKN33:IKU33"/>
    <mergeCell ref="IKV33:ILC33"/>
    <mergeCell ref="ILD33:ILK33"/>
    <mergeCell ref="ILL33:ILS33"/>
    <mergeCell ref="ILT33:IMA33"/>
    <mergeCell ref="IMB33:IMI33"/>
    <mergeCell ref="IMJ33:IMQ33"/>
    <mergeCell ref="IMR33:IMY33"/>
    <mergeCell ref="IMZ33:ING33"/>
    <mergeCell ref="INH33:INO33"/>
    <mergeCell ref="INP33:INW33"/>
    <mergeCell ref="INX33:IOE33"/>
    <mergeCell ref="IOF33:IOM33"/>
    <mergeCell ref="ION33:IOU33"/>
    <mergeCell ref="IOV33:IPC33"/>
    <mergeCell ref="IPD33:IPK33"/>
    <mergeCell ref="IPL33:IPS33"/>
    <mergeCell ref="IPT33:IQA33"/>
    <mergeCell ref="IQB33:IQI33"/>
    <mergeCell ref="IQJ33:IQQ33"/>
    <mergeCell ref="IQR33:IQY33"/>
    <mergeCell ref="IQZ33:IRG33"/>
    <mergeCell ref="IRH33:IRO33"/>
    <mergeCell ref="IRP33:IRW33"/>
    <mergeCell ref="IRX33:ISE33"/>
    <mergeCell ref="ISF33:ISM33"/>
    <mergeCell ref="ISN33:ISU33"/>
    <mergeCell ref="ISV33:ITC33"/>
    <mergeCell ref="ITD33:ITK33"/>
    <mergeCell ref="ITL33:ITS33"/>
    <mergeCell ref="ITT33:IUA33"/>
    <mergeCell ref="IUB33:IUI33"/>
    <mergeCell ref="IUJ33:IUQ33"/>
    <mergeCell ref="IUR33:IUY33"/>
    <mergeCell ref="IUZ33:IVG33"/>
    <mergeCell ref="IVH33:IVO33"/>
    <mergeCell ref="IVP33:IVW33"/>
    <mergeCell ref="IVX33:IWE33"/>
    <mergeCell ref="IWF33:IWM33"/>
    <mergeCell ref="IWN33:IWU33"/>
    <mergeCell ref="IWV33:IXC33"/>
    <mergeCell ref="IXD33:IXK33"/>
    <mergeCell ref="IXL33:IXS33"/>
    <mergeCell ref="IXT33:IYA33"/>
    <mergeCell ref="IYB33:IYI33"/>
    <mergeCell ref="IYJ33:IYQ33"/>
    <mergeCell ref="IYR33:IYY33"/>
    <mergeCell ref="IYZ33:IZG33"/>
    <mergeCell ref="IZH33:IZO33"/>
    <mergeCell ref="IZP33:IZW33"/>
    <mergeCell ref="IZX33:JAE33"/>
    <mergeCell ref="JAF33:JAM33"/>
    <mergeCell ref="JAN33:JAU33"/>
    <mergeCell ref="JAV33:JBC33"/>
    <mergeCell ref="JBD33:JBK33"/>
    <mergeCell ref="JBL33:JBS33"/>
    <mergeCell ref="JBT33:JCA33"/>
    <mergeCell ref="JCB33:JCI33"/>
    <mergeCell ref="JCJ33:JCQ33"/>
    <mergeCell ref="JCR33:JCY33"/>
    <mergeCell ref="JCZ33:JDG33"/>
    <mergeCell ref="JDH33:JDO33"/>
    <mergeCell ref="JDP33:JDW33"/>
    <mergeCell ref="JDX33:JEE33"/>
    <mergeCell ref="JEF33:JEM33"/>
    <mergeCell ref="JEN33:JEU33"/>
    <mergeCell ref="JEV33:JFC33"/>
    <mergeCell ref="JFD33:JFK33"/>
    <mergeCell ref="JFL33:JFS33"/>
    <mergeCell ref="JFT33:JGA33"/>
    <mergeCell ref="JGB33:JGI33"/>
    <mergeCell ref="JGJ33:JGQ33"/>
    <mergeCell ref="JGR33:JGY33"/>
    <mergeCell ref="JGZ33:JHG33"/>
    <mergeCell ref="JHH33:JHO33"/>
    <mergeCell ref="JHP33:JHW33"/>
    <mergeCell ref="JHX33:JIE33"/>
    <mergeCell ref="JIF33:JIM33"/>
    <mergeCell ref="JIN33:JIU33"/>
    <mergeCell ref="JIV33:JJC33"/>
    <mergeCell ref="JJD33:JJK33"/>
    <mergeCell ref="JJL33:JJS33"/>
    <mergeCell ref="JJT33:JKA33"/>
    <mergeCell ref="JKB33:JKI33"/>
    <mergeCell ref="JKJ33:JKQ33"/>
    <mergeCell ref="JKR33:JKY33"/>
    <mergeCell ref="JKZ33:JLG33"/>
    <mergeCell ref="JLH33:JLO33"/>
    <mergeCell ref="JLP33:JLW33"/>
    <mergeCell ref="JLX33:JME33"/>
    <mergeCell ref="JMF33:JMM33"/>
    <mergeCell ref="JMN33:JMU33"/>
    <mergeCell ref="JMV33:JNC33"/>
    <mergeCell ref="JND33:JNK33"/>
    <mergeCell ref="JNL33:JNS33"/>
    <mergeCell ref="JNT33:JOA33"/>
    <mergeCell ref="JOB33:JOI33"/>
    <mergeCell ref="JOJ33:JOQ33"/>
    <mergeCell ref="JOR33:JOY33"/>
    <mergeCell ref="JOZ33:JPG33"/>
    <mergeCell ref="JPH33:JPO33"/>
    <mergeCell ref="JPP33:JPW33"/>
    <mergeCell ref="JPX33:JQE33"/>
    <mergeCell ref="JQF33:JQM33"/>
    <mergeCell ref="JQN33:JQU33"/>
    <mergeCell ref="JQV33:JRC33"/>
    <mergeCell ref="JRD33:JRK33"/>
    <mergeCell ref="JRL33:JRS33"/>
    <mergeCell ref="JRT33:JSA33"/>
    <mergeCell ref="JSB33:JSI33"/>
    <mergeCell ref="JSJ33:JSQ33"/>
    <mergeCell ref="JSR33:JSY33"/>
    <mergeCell ref="JSZ33:JTG33"/>
    <mergeCell ref="JTH33:JTO33"/>
    <mergeCell ref="JTP33:JTW33"/>
    <mergeCell ref="JTX33:JUE33"/>
    <mergeCell ref="JUF33:JUM33"/>
    <mergeCell ref="JUN33:JUU33"/>
    <mergeCell ref="JUV33:JVC33"/>
    <mergeCell ref="JVD33:JVK33"/>
    <mergeCell ref="JVL33:JVS33"/>
    <mergeCell ref="JVT33:JWA33"/>
    <mergeCell ref="JWB33:JWI33"/>
    <mergeCell ref="JWJ33:JWQ33"/>
    <mergeCell ref="JWR33:JWY33"/>
    <mergeCell ref="JWZ33:JXG33"/>
    <mergeCell ref="JXH33:JXO33"/>
    <mergeCell ref="JXP33:JXW33"/>
    <mergeCell ref="JXX33:JYE33"/>
    <mergeCell ref="JYF33:JYM33"/>
    <mergeCell ref="JYN33:JYU33"/>
    <mergeCell ref="JYV33:JZC33"/>
    <mergeCell ref="JZD33:JZK33"/>
    <mergeCell ref="JZL33:JZS33"/>
    <mergeCell ref="JZT33:KAA33"/>
    <mergeCell ref="KAB33:KAI33"/>
    <mergeCell ref="KAJ33:KAQ33"/>
    <mergeCell ref="KAR33:KAY33"/>
    <mergeCell ref="KAZ33:KBG33"/>
    <mergeCell ref="KBH33:KBO33"/>
    <mergeCell ref="KBP33:KBW33"/>
    <mergeCell ref="KBX33:KCE33"/>
    <mergeCell ref="KCF33:KCM33"/>
    <mergeCell ref="KCN33:KCU33"/>
    <mergeCell ref="KCV33:KDC33"/>
    <mergeCell ref="KDD33:KDK33"/>
    <mergeCell ref="KDL33:KDS33"/>
    <mergeCell ref="KDT33:KEA33"/>
    <mergeCell ref="KEB33:KEI33"/>
    <mergeCell ref="KEJ33:KEQ33"/>
    <mergeCell ref="KER33:KEY33"/>
    <mergeCell ref="KEZ33:KFG33"/>
    <mergeCell ref="KFH33:KFO33"/>
    <mergeCell ref="KFP33:KFW33"/>
    <mergeCell ref="KFX33:KGE33"/>
    <mergeCell ref="KGF33:KGM33"/>
    <mergeCell ref="KGN33:KGU33"/>
    <mergeCell ref="KGV33:KHC33"/>
    <mergeCell ref="KHD33:KHK33"/>
    <mergeCell ref="KHL33:KHS33"/>
    <mergeCell ref="KHT33:KIA33"/>
    <mergeCell ref="KIB33:KII33"/>
    <mergeCell ref="KIJ33:KIQ33"/>
    <mergeCell ref="KIR33:KIY33"/>
    <mergeCell ref="KIZ33:KJG33"/>
    <mergeCell ref="KJH33:KJO33"/>
    <mergeCell ref="KJP33:KJW33"/>
    <mergeCell ref="KJX33:KKE33"/>
    <mergeCell ref="KKF33:KKM33"/>
    <mergeCell ref="KKN33:KKU33"/>
    <mergeCell ref="KKV33:KLC33"/>
    <mergeCell ref="KLD33:KLK33"/>
    <mergeCell ref="KLL33:KLS33"/>
    <mergeCell ref="KLT33:KMA33"/>
    <mergeCell ref="KMB33:KMI33"/>
    <mergeCell ref="KMJ33:KMQ33"/>
    <mergeCell ref="KMR33:KMY33"/>
    <mergeCell ref="KMZ33:KNG33"/>
    <mergeCell ref="KNH33:KNO33"/>
    <mergeCell ref="KNP33:KNW33"/>
    <mergeCell ref="KNX33:KOE33"/>
    <mergeCell ref="KOF33:KOM33"/>
    <mergeCell ref="KON33:KOU33"/>
    <mergeCell ref="KOV33:KPC33"/>
    <mergeCell ref="KPD33:KPK33"/>
    <mergeCell ref="KPL33:KPS33"/>
    <mergeCell ref="KPT33:KQA33"/>
    <mergeCell ref="KQB33:KQI33"/>
    <mergeCell ref="KQJ33:KQQ33"/>
    <mergeCell ref="KQR33:KQY33"/>
    <mergeCell ref="KQZ33:KRG33"/>
    <mergeCell ref="KRH33:KRO33"/>
    <mergeCell ref="KRP33:KRW33"/>
    <mergeCell ref="KRX33:KSE33"/>
    <mergeCell ref="KSF33:KSM33"/>
    <mergeCell ref="KSN33:KSU33"/>
    <mergeCell ref="KSV33:KTC33"/>
    <mergeCell ref="KTD33:KTK33"/>
    <mergeCell ref="KTL33:KTS33"/>
    <mergeCell ref="KTT33:KUA33"/>
    <mergeCell ref="KUB33:KUI33"/>
    <mergeCell ref="KUJ33:KUQ33"/>
    <mergeCell ref="KUR33:KUY33"/>
    <mergeCell ref="KUZ33:KVG33"/>
    <mergeCell ref="KVH33:KVO33"/>
    <mergeCell ref="KVP33:KVW33"/>
    <mergeCell ref="KVX33:KWE33"/>
    <mergeCell ref="KWF33:KWM33"/>
    <mergeCell ref="KWN33:KWU33"/>
    <mergeCell ref="KWV33:KXC33"/>
    <mergeCell ref="KXD33:KXK33"/>
    <mergeCell ref="KXL33:KXS33"/>
    <mergeCell ref="KXT33:KYA33"/>
    <mergeCell ref="KYB33:KYI33"/>
    <mergeCell ref="KYJ33:KYQ33"/>
    <mergeCell ref="KYR33:KYY33"/>
    <mergeCell ref="KYZ33:KZG33"/>
    <mergeCell ref="KZH33:KZO33"/>
    <mergeCell ref="KZP33:KZW33"/>
    <mergeCell ref="KZX33:LAE33"/>
    <mergeCell ref="LAF33:LAM33"/>
    <mergeCell ref="LAN33:LAU33"/>
    <mergeCell ref="LAV33:LBC33"/>
    <mergeCell ref="LBD33:LBK33"/>
    <mergeCell ref="LBL33:LBS33"/>
    <mergeCell ref="LBT33:LCA33"/>
    <mergeCell ref="LCB33:LCI33"/>
    <mergeCell ref="LCJ33:LCQ33"/>
    <mergeCell ref="LCR33:LCY33"/>
    <mergeCell ref="LCZ33:LDG33"/>
    <mergeCell ref="LDH33:LDO33"/>
    <mergeCell ref="LDP33:LDW33"/>
    <mergeCell ref="LDX33:LEE33"/>
    <mergeCell ref="LEF33:LEM33"/>
    <mergeCell ref="LEN33:LEU33"/>
    <mergeCell ref="LEV33:LFC33"/>
    <mergeCell ref="LFD33:LFK33"/>
    <mergeCell ref="LFL33:LFS33"/>
    <mergeCell ref="LFT33:LGA33"/>
    <mergeCell ref="LGB33:LGI33"/>
    <mergeCell ref="LGJ33:LGQ33"/>
    <mergeCell ref="LGR33:LGY33"/>
    <mergeCell ref="LGZ33:LHG33"/>
    <mergeCell ref="LHH33:LHO33"/>
    <mergeCell ref="LHP33:LHW33"/>
    <mergeCell ref="LHX33:LIE33"/>
    <mergeCell ref="LIF33:LIM33"/>
    <mergeCell ref="LIN33:LIU33"/>
    <mergeCell ref="LIV33:LJC33"/>
    <mergeCell ref="LJD33:LJK33"/>
    <mergeCell ref="LJL33:LJS33"/>
    <mergeCell ref="LJT33:LKA33"/>
    <mergeCell ref="LKB33:LKI33"/>
    <mergeCell ref="LKJ33:LKQ33"/>
    <mergeCell ref="LKR33:LKY33"/>
    <mergeCell ref="LKZ33:LLG33"/>
    <mergeCell ref="LLH33:LLO33"/>
    <mergeCell ref="LLP33:LLW33"/>
    <mergeCell ref="LLX33:LME33"/>
    <mergeCell ref="LMF33:LMM33"/>
    <mergeCell ref="LMN33:LMU33"/>
    <mergeCell ref="LMV33:LNC33"/>
    <mergeCell ref="LND33:LNK33"/>
    <mergeCell ref="LNL33:LNS33"/>
    <mergeCell ref="LNT33:LOA33"/>
    <mergeCell ref="LOB33:LOI33"/>
    <mergeCell ref="LOJ33:LOQ33"/>
    <mergeCell ref="LOR33:LOY33"/>
    <mergeCell ref="LOZ33:LPG33"/>
    <mergeCell ref="LPH33:LPO33"/>
    <mergeCell ref="LPP33:LPW33"/>
    <mergeCell ref="LPX33:LQE33"/>
    <mergeCell ref="LQF33:LQM33"/>
    <mergeCell ref="LQN33:LQU33"/>
    <mergeCell ref="LQV33:LRC33"/>
    <mergeCell ref="LRD33:LRK33"/>
    <mergeCell ref="LRL33:LRS33"/>
    <mergeCell ref="LRT33:LSA33"/>
    <mergeCell ref="LSB33:LSI33"/>
    <mergeCell ref="LSJ33:LSQ33"/>
    <mergeCell ref="LSR33:LSY33"/>
    <mergeCell ref="LSZ33:LTG33"/>
    <mergeCell ref="LTH33:LTO33"/>
    <mergeCell ref="LTP33:LTW33"/>
    <mergeCell ref="LTX33:LUE33"/>
    <mergeCell ref="LUF33:LUM33"/>
    <mergeCell ref="LUN33:LUU33"/>
    <mergeCell ref="LUV33:LVC33"/>
    <mergeCell ref="LVD33:LVK33"/>
    <mergeCell ref="LVL33:LVS33"/>
    <mergeCell ref="LVT33:LWA33"/>
    <mergeCell ref="LWB33:LWI33"/>
    <mergeCell ref="LWJ33:LWQ33"/>
    <mergeCell ref="LWR33:LWY33"/>
    <mergeCell ref="LWZ33:LXG33"/>
    <mergeCell ref="LXH33:LXO33"/>
    <mergeCell ref="LXP33:LXW33"/>
    <mergeCell ref="LXX33:LYE33"/>
    <mergeCell ref="LYF33:LYM33"/>
    <mergeCell ref="LYN33:LYU33"/>
    <mergeCell ref="LYV33:LZC33"/>
    <mergeCell ref="LZD33:LZK33"/>
    <mergeCell ref="LZL33:LZS33"/>
    <mergeCell ref="LZT33:MAA33"/>
    <mergeCell ref="MAB33:MAI33"/>
    <mergeCell ref="MAJ33:MAQ33"/>
    <mergeCell ref="MAR33:MAY33"/>
    <mergeCell ref="MAZ33:MBG33"/>
    <mergeCell ref="MBH33:MBO33"/>
    <mergeCell ref="MBP33:MBW33"/>
    <mergeCell ref="MBX33:MCE33"/>
    <mergeCell ref="MCF33:MCM33"/>
    <mergeCell ref="MCN33:MCU33"/>
    <mergeCell ref="MCV33:MDC33"/>
    <mergeCell ref="MDD33:MDK33"/>
    <mergeCell ref="MDL33:MDS33"/>
    <mergeCell ref="MDT33:MEA33"/>
    <mergeCell ref="MEB33:MEI33"/>
    <mergeCell ref="MEJ33:MEQ33"/>
    <mergeCell ref="MER33:MEY33"/>
    <mergeCell ref="MEZ33:MFG33"/>
    <mergeCell ref="MFH33:MFO33"/>
    <mergeCell ref="MFP33:MFW33"/>
    <mergeCell ref="MFX33:MGE33"/>
    <mergeCell ref="MGF33:MGM33"/>
    <mergeCell ref="MGN33:MGU33"/>
    <mergeCell ref="MGV33:MHC33"/>
    <mergeCell ref="MHD33:MHK33"/>
    <mergeCell ref="MHL33:MHS33"/>
    <mergeCell ref="MHT33:MIA33"/>
    <mergeCell ref="MIB33:MII33"/>
    <mergeCell ref="MIJ33:MIQ33"/>
    <mergeCell ref="MIR33:MIY33"/>
    <mergeCell ref="MIZ33:MJG33"/>
    <mergeCell ref="MJH33:MJO33"/>
    <mergeCell ref="MJP33:MJW33"/>
    <mergeCell ref="MJX33:MKE33"/>
    <mergeCell ref="MKF33:MKM33"/>
    <mergeCell ref="MKN33:MKU33"/>
    <mergeCell ref="MKV33:MLC33"/>
    <mergeCell ref="MLD33:MLK33"/>
    <mergeCell ref="MLL33:MLS33"/>
    <mergeCell ref="MLT33:MMA33"/>
    <mergeCell ref="MMB33:MMI33"/>
    <mergeCell ref="MMJ33:MMQ33"/>
    <mergeCell ref="MMR33:MMY33"/>
    <mergeCell ref="MMZ33:MNG33"/>
    <mergeCell ref="MNH33:MNO33"/>
    <mergeCell ref="MNP33:MNW33"/>
    <mergeCell ref="MNX33:MOE33"/>
    <mergeCell ref="MOF33:MOM33"/>
    <mergeCell ref="MON33:MOU33"/>
    <mergeCell ref="MOV33:MPC33"/>
    <mergeCell ref="MPD33:MPK33"/>
    <mergeCell ref="MPL33:MPS33"/>
    <mergeCell ref="MPT33:MQA33"/>
    <mergeCell ref="MQB33:MQI33"/>
    <mergeCell ref="MQJ33:MQQ33"/>
    <mergeCell ref="MQR33:MQY33"/>
    <mergeCell ref="MQZ33:MRG33"/>
    <mergeCell ref="MRH33:MRO33"/>
    <mergeCell ref="MRP33:MRW33"/>
    <mergeCell ref="MRX33:MSE33"/>
    <mergeCell ref="MSF33:MSM33"/>
    <mergeCell ref="MSN33:MSU33"/>
    <mergeCell ref="MSV33:MTC33"/>
    <mergeCell ref="MTD33:MTK33"/>
    <mergeCell ref="MTL33:MTS33"/>
    <mergeCell ref="MTT33:MUA33"/>
    <mergeCell ref="MUB33:MUI33"/>
    <mergeCell ref="MUJ33:MUQ33"/>
    <mergeCell ref="MUR33:MUY33"/>
    <mergeCell ref="MUZ33:MVG33"/>
    <mergeCell ref="MVH33:MVO33"/>
    <mergeCell ref="MVP33:MVW33"/>
    <mergeCell ref="MVX33:MWE33"/>
    <mergeCell ref="MWF33:MWM33"/>
    <mergeCell ref="MWN33:MWU33"/>
    <mergeCell ref="MWV33:MXC33"/>
    <mergeCell ref="MXD33:MXK33"/>
    <mergeCell ref="MXL33:MXS33"/>
    <mergeCell ref="MXT33:MYA33"/>
    <mergeCell ref="MYB33:MYI33"/>
    <mergeCell ref="MYJ33:MYQ33"/>
    <mergeCell ref="MYR33:MYY33"/>
    <mergeCell ref="MYZ33:MZG33"/>
    <mergeCell ref="MZH33:MZO33"/>
    <mergeCell ref="MZP33:MZW33"/>
    <mergeCell ref="MZX33:NAE33"/>
    <mergeCell ref="NAF33:NAM33"/>
    <mergeCell ref="NAN33:NAU33"/>
    <mergeCell ref="NAV33:NBC33"/>
    <mergeCell ref="NBD33:NBK33"/>
    <mergeCell ref="NBL33:NBS33"/>
    <mergeCell ref="NBT33:NCA33"/>
    <mergeCell ref="NCB33:NCI33"/>
    <mergeCell ref="NCJ33:NCQ33"/>
    <mergeCell ref="NCR33:NCY33"/>
    <mergeCell ref="NCZ33:NDG33"/>
    <mergeCell ref="NDH33:NDO33"/>
    <mergeCell ref="NDP33:NDW33"/>
    <mergeCell ref="NDX33:NEE33"/>
    <mergeCell ref="NEF33:NEM33"/>
    <mergeCell ref="NEN33:NEU33"/>
    <mergeCell ref="NEV33:NFC33"/>
    <mergeCell ref="NFD33:NFK33"/>
    <mergeCell ref="NFL33:NFS33"/>
    <mergeCell ref="NFT33:NGA33"/>
    <mergeCell ref="NGB33:NGI33"/>
    <mergeCell ref="NGJ33:NGQ33"/>
    <mergeCell ref="NGR33:NGY33"/>
    <mergeCell ref="NGZ33:NHG33"/>
    <mergeCell ref="NHH33:NHO33"/>
    <mergeCell ref="NHP33:NHW33"/>
    <mergeCell ref="NHX33:NIE33"/>
    <mergeCell ref="NIF33:NIM33"/>
    <mergeCell ref="NIN33:NIU33"/>
    <mergeCell ref="NIV33:NJC33"/>
    <mergeCell ref="NJD33:NJK33"/>
    <mergeCell ref="NJL33:NJS33"/>
    <mergeCell ref="NJT33:NKA33"/>
    <mergeCell ref="NKB33:NKI33"/>
    <mergeCell ref="NKJ33:NKQ33"/>
    <mergeCell ref="NKR33:NKY33"/>
    <mergeCell ref="NKZ33:NLG33"/>
    <mergeCell ref="NLH33:NLO33"/>
    <mergeCell ref="NLP33:NLW33"/>
    <mergeCell ref="NLX33:NME33"/>
    <mergeCell ref="NMF33:NMM33"/>
    <mergeCell ref="NMN33:NMU33"/>
    <mergeCell ref="NMV33:NNC33"/>
    <mergeCell ref="NND33:NNK33"/>
    <mergeCell ref="NNL33:NNS33"/>
    <mergeCell ref="NNT33:NOA33"/>
    <mergeCell ref="NOB33:NOI33"/>
    <mergeCell ref="NOJ33:NOQ33"/>
    <mergeCell ref="NOR33:NOY33"/>
    <mergeCell ref="NOZ33:NPG33"/>
    <mergeCell ref="NPH33:NPO33"/>
    <mergeCell ref="NPP33:NPW33"/>
    <mergeCell ref="NPX33:NQE33"/>
    <mergeCell ref="NQF33:NQM33"/>
    <mergeCell ref="NQN33:NQU33"/>
    <mergeCell ref="NQV33:NRC33"/>
    <mergeCell ref="NRD33:NRK33"/>
    <mergeCell ref="NRL33:NRS33"/>
    <mergeCell ref="NRT33:NSA33"/>
    <mergeCell ref="NSB33:NSI33"/>
    <mergeCell ref="NSJ33:NSQ33"/>
    <mergeCell ref="NSR33:NSY33"/>
    <mergeCell ref="NSZ33:NTG33"/>
    <mergeCell ref="NTH33:NTO33"/>
    <mergeCell ref="NTP33:NTW33"/>
    <mergeCell ref="NTX33:NUE33"/>
    <mergeCell ref="NUF33:NUM33"/>
    <mergeCell ref="NUN33:NUU33"/>
    <mergeCell ref="NUV33:NVC33"/>
    <mergeCell ref="NVD33:NVK33"/>
    <mergeCell ref="NVL33:NVS33"/>
    <mergeCell ref="NVT33:NWA33"/>
    <mergeCell ref="NWB33:NWI33"/>
    <mergeCell ref="NWJ33:NWQ33"/>
    <mergeCell ref="NWR33:NWY33"/>
    <mergeCell ref="NWZ33:NXG33"/>
    <mergeCell ref="NXH33:NXO33"/>
    <mergeCell ref="NXP33:NXW33"/>
    <mergeCell ref="NXX33:NYE33"/>
    <mergeCell ref="NYF33:NYM33"/>
    <mergeCell ref="NYN33:NYU33"/>
    <mergeCell ref="NYV33:NZC33"/>
    <mergeCell ref="NZD33:NZK33"/>
    <mergeCell ref="NZL33:NZS33"/>
    <mergeCell ref="NZT33:OAA33"/>
    <mergeCell ref="OAB33:OAI33"/>
    <mergeCell ref="OAJ33:OAQ33"/>
    <mergeCell ref="OAR33:OAY33"/>
    <mergeCell ref="OAZ33:OBG33"/>
    <mergeCell ref="OBH33:OBO33"/>
    <mergeCell ref="OBP33:OBW33"/>
    <mergeCell ref="OBX33:OCE33"/>
    <mergeCell ref="OCF33:OCM33"/>
    <mergeCell ref="OCN33:OCU33"/>
    <mergeCell ref="OCV33:ODC33"/>
    <mergeCell ref="ODD33:ODK33"/>
    <mergeCell ref="ODL33:ODS33"/>
    <mergeCell ref="ODT33:OEA33"/>
    <mergeCell ref="OEB33:OEI33"/>
    <mergeCell ref="OEJ33:OEQ33"/>
    <mergeCell ref="OER33:OEY33"/>
    <mergeCell ref="OEZ33:OFG33"/>
    <mergeCell ref="OFH33:OFO33"/>
    <mergeCell ref="OFP33:OFW33"/>
    <mergeCell ref="OFX33:OGE33"/>
    <mergeCell ref="OGF33:OGM33"/>
    <mergeCell ref="OGN33:OGU33"/>
    <mergeCell ref="OGV33:OHC33"/>
    <mergeCell ref="OHD33:OHK33"/>
    <mergeCell ref="OHL33:OHS33"/>
    <mergeCell ref="OHT33:OIA33"/>
    <mergeCell ref="OIB33:OII33"/>
    <mergeCell ref="OIJ33:OIQ33"/>
    <mergeCell ref="OIR33:OIY33"/>
    <mergeCell ref="OIZ33:OJG33"/>
    <mergeCell ref="OJH33:OJO33"/>
    <mergeCell ref="OJP33:OJW33"/>
    <mergeCell ref="OJX33:OKE33"/>
    <mergeCell ref="OKF33:OKM33"/>
    <mergeCell ref="OKN33:OKU33"/>
    <mergeCell ref="OKV33:OLC33"/>
    <mergeCell ref="OLD33:OLK33"/>
    <mergeCell ref="OLL33:OLS33"/>
    <mergeCell ref="OLT33:OMA33"/>
    <mergeCell ref="OMB33:OMI33"/>
    <mergeCell ref="OMJ33:OMQ33"/>
    <mergeCell ref="OMR33:OMY33"/>
    <mergeCell ref="OMZ33:ONG33"/>
    <mergeCell ref="ONH33:ONO33"/>
    <mergeCell ref="ONP33:ONW33"/>
    <mergeCell ref="ONX33:OOE33"/>
    <mergeCell ref="OOF33:OOM33"/>
    <mergeCell ref="OON33:OOU33"/>
    <mergeCell ref="OOV33:OPC33"/>
    <mergeCell ref="OPD33:OPK33"/>
    <mergeCell ref="OPL33:OPS33"/>
    <mergeCell ref="OPT33:OQA33"/>
    <mergeCell ref="OQB33:OQI33"/>
    <mergeCell ref="OQJ33:OQQ33"/>
    <mergeCell ref="OQR33:OQY33"/>
    <mergeCell ref="OQZ33:ORG33"/>
    <mergeCell ref="ORH33:ORO33"/>
    <mergeCell ref="ORP33:ORW33"/>
    <mergeCell ref="ORX33:OSE33"/>
    <mergeCell ref="OSF33:OSM33"/>
    <mergeCell ref="OSN33:OSU33"/>
    <mergeCell ref="OSV33:OTC33"/>
    <mergeCell ref="OTD33:OTK33"/>
    <mergeCell ref="OTL33:OTS33"/>
    <mergeCell ref="OTT33:OUA33"/>
    <mergeCell ref="OUB33:OUI33"/>
    <mergeCell ref="OUJ33:OUQ33"/>
    <mergeCell ref="OUR33:OUY33"/>
    <mergeCell ref="OUZ33:OVG33"/>
    <mergeCell ref="OVH33:OVO33"/>
    <mergeCell ref="OVP33:OVW33"/>
    <mergeCell ref="OVX33:OWE33"/>
    <mergeCell ref="OWF33:OWM33"/>
    <mergeCell ref="OWN33:OWU33"/>
    <mergeCell ref="OWV33:OXC33"/>
    <mergeCell ref="OXD33:OXK33"/>
    <mergeCell ref="OXL33:OXS33"/>
    <mergeCell ref="OXT33:OYA33"/>
    <mergeCell ref="OYB33:OYI33"/>
    <mergeCell ref="OYJ33:OYQ33"/>
    <mergeCell ref="OYR33:OYY33"/>
    <mergeCell ref="OYZ33:OZG33"/>
    <mergeCell ref="OZH33:OZO33"/>
    <mergeCell ref="OZP33:OZW33"/>
    <mergeCell ref="OZX33:PAE33"/>
    <mergeCell ref="PAF33:PAM33"/>
    <mergeCell ref="PAN33:PAU33"/>
    <mergeCell ref="PAV33:PBC33"/>
    <mergeCell ref="PBD33:PBK33"/>
    <mergeCell ref="PBL33:PBS33"/>
    <mergeCell ref="PBT33:PCA33"/>
    <mergeCell ref="PCB33:PCI33"/>
    <mergeCell ref="PCJ33:PCQ33"/>
    <mergeCell ref="PCR33:PCY33"/>
    <mergeCell ref="PCZ33:PDG33"/>
    <mergeCell ref="PDH33:PDO33"/>
    <mergeCell ref="PDP33:PDW33"/>
    <mergeCell ref="PDX33:PEE33"/>
    <mergeCell ref="PEF33:PEM33"/>
    <mergeCell ref="PEN33:PEU33"/>
    <mergeCell ref="PEV33:PFC33"/>
    <mergeCell ref="PFD33:PFK33"/>
    <mergeCell ref="PFL33:PFS33"/>
    <mergeCell ref="PFT33:PGA33"/>
    <mergeCell ref="PGB33:PGI33"/>
    <mergeCell ref="PGJ33:PGQ33"/>
    <mergeCell ref="PGR33:PGY33"/>
    <mergeCell ref="PGZ33:PHG33"/>
    <mergeCell ref="PHH33:PHO33"/>
    <mergeCell ref="PHP33:PHW33"/>
    <mergeCell ref="PHX33:PIE33"/>
    <mergeCell ref="PIF33:PIM33"/>
    <mergeCell ref="PIN33:PIU33"/>
    <mergeCell ref="PIV33:PJC33"/>
    <mergeCell ref="PJD33:PJK33"/>
    <mergeCell ref="PJL33:PJS33"/>
    <mergeCell ref="PJT33:PKA33"/>
    <mergeCell ref="PKB33:PKI33"/>
    <mergeCell ref="PKJ33:PKQ33"/>
    <mergeCell ref="PKR33:PKY33"/>
    <mergeCell ref="PKZ33:PLG33"/>
    <mergeCell ref="PLH33:PLO33"/>
    <mergeCell ref="PLP33:PLW33"/>
    <mergeCell ref="PLX33:PME33"/>
    <mergeCell ref="PMF33:PMM33"/>
    <mergeCell ref="PMN33:PMU33"/>
    <mergeCell ref="PMV33:PNC33"/>
    <mergeCell ref="PND33:PNK33"/>
    <mergeCell ref="PNL33:PNS33"/>
    <mergeCell ref="PNT33:POA33"/>
    <mergeCell ref="POB33:POI33"/>
    <mergeCell ref="POJ33:POQ33"/>
    <mergeCell ref="POR33:POY33"/>
    <mergeCell ref="POZ33:PPG33"/>
    <mergeCell ref="PPH33:PPO33"/>
    <mergeCell ref="PPP33:PPW33"/>
    <mergeCell ref="PPX33:PQE33"/>
    <mergeCell ref="PQF33:PQM33"/>
    <mergeCell ref="PQN33:PQU33"/>
    <mergeCell ref="PQV33:PRC33"/>
    <mergeCell ref="PRD33:PRK33"/>
    <mergeCell ref="PRL33:PRS33"/>
    <mergeCell ref="PRT33:PSA33"/>
    <mergeCell ref="PSB33:PSI33"/>
    <mergeCell ref="PSJ33:PSQ33"/>
    <mergeCell ref="PSR33:PSY33"/>
    <mergeCell ref="PSZ33:PTG33"/>
    <mergeCell ref="PTH33:PTO33"/>
    <mergeCell ref="PTP33:PTW33"/>
    <mergeCell ref="PTX33:PUE33"/>
    <mergeCell ref="PUF33:PUM33"/>
    <mergeCell ref="PUN33:PUU33"/>
    <mergeCell ref="PUV33:PVC33"/>
    <mergeCell ref="PVD33:PVK33"/>
    <mergeCell ref="PVL33:PVS33"/>
    <mergeCell ref="PVT33:PWA33"/>
    <mergeCell ref="PWB33:PWI33"/>
    <mergeCell ref="PWJ33:PWQ33"/>
    <mergeCell ref="PWR33:PWY33"/>
    <mergeCell ref="PWZ33:PXG33"/>
    <mergeCell ref="PXH33:PXO33"/>
    <mergeCell ref="PXP33:PXW33"/>
    <mergeCell ref="PXX33:PYE33"/>
    <mergeCell ref="PYF33:PYM33"/>
    <mergeCell ref="PYN33:PYU33"/>
    <mergeCell ref="PYV33:PZC33"/>
    <mergeCell ref="PZD33:PZK33"/>
    <mergeCell ref="PZL33:PZS33"/>
    <mergeCell ref="PZT33:QAA33"/>
    <mergeCell ref="QAB33:QAI33"/>
    <mergeCell ref="QAJ33:QAQ33"/>
    <mergeCell ref="QAR33:QAY33"/>
    <mergeCell ref="QAZ33:QBG33"/>
    <mergeCell ref="QBH33:QBO33"/>
    <mergeCell ref="QBP33:QBW33"/>
    <mergeCell ref="QBX33:QCE33"/>
    <mergeCell ref="QCF33:QCM33"/>
    <mergeCell ref="QCN33:QCU33"/>
    <mergeCell ref="QCV33:QDC33"/>
    <mergeCell ref="QDD33:QDK33"/>
    <mergeCell ref="QDL33:QDS33"/>
    <mergeCell ref="QDT33:QEA33"/>
    <mergeCell ref="QEB33:QEI33"/>
    <mergeCell ref="QEJ33:QEQ33"/>
    <mergeCell ref="QER33:QEY33"/>
    <mergeCell ref="QEZ33:QFG33"/>
    <mergeCell ref="QFH33:QFO33"/>
    <mergeCell ref="QFP33:QFW33"/>
    <mergeCell ref="QFX33:QGE33"/>
    <mergeCell ref="QGF33:QGM33"/>
    <mergeCell ref="QGN33:QGU33"/>
    <mergeCell ref="QGV33:QHC33"/>
    <mergeCell ref="QHD33:QHK33"/>
    <mergeCell ref="QHL33:QHS33"/>
    <mergeCell ref="QHT33:QIA33"/>
    <mergeCell ref="QIB33:QII33"/>
    <mergeCell ref="QIJ33:QIQ33"/>
    <mergeCell ref="QIR33:QIY33"/>
    <mergeCell ref="QIZ33:QJG33"/>
    <mergeCell ref="QJH33:QJO33"/>
    <mergeCell ref="QJP33:QJW33"/>
    <mergeCell ref="QJX33:QKE33"/>
    <mergeCell ref="QKF33:QKM33"/>
    <mergeCell ref="QKN33:QKU33"/>
    <mergeCell ref="QKV33:QLC33"/>
    <mergeCell ref="QLD33:QLK33"/>
    <mergeCell ref="QLL33:QLS33"/>
    <mergeCell ref="QLT33:QMA33"/>
    <mergeCell ref="QMB33:QMI33"/>
    <mergeCell ref="QMJ33:QMQ33"/>
    <mergeCell ref="QMR33:QMY33"/>
    <mergeCell ref="QMZ33:QNG33"/>
    <mergeCell ref="QNH33:QNO33"/>
    <mergeCell ref="QNP33:QNW33"/>
    <mergeCell ref="QNX33:QOE33"/>
    <mergeCell ref="QOF33:QOM33"/>
    <mergeCell ref="QON33:QOU33"/>
    <mergeCell ref="QOV33:QPC33"/>
    <mergeCell ref="QPD33:QPK33"/>
    <mergeCell ref="QPL33:QPS33"/>
    <mergeCell ref="QPT33:QQA33"/>
    <mergeCell ref="QQB33:QQI33"/>
    <mergeCell ref="QQJ33:QQQ33"/>
    <mergeCell ref="QQR33:QQY33"/>
    <mergeCell ref="QQZ33:QRG33"/>
    <mergeCell ref="QRH33:QRO33"/>
    <mergeCell ref="QRP33:QRW33"/>
    <mergeCell ref="QRX33:QSE33"/>
    <mergeCell ref="QSF33:QSM33"/>
    <mergeCell ref="QSN33:QSU33"/>
    <mergeCell ref="QSV33:QTC33"/>
    <mergeCell ref="QTD33:QTK33"/>
    <mergeCell ref="QTL33:QTS33"/>
    <mergeCell ref="QTT33:QUA33"/>
    <mergeCell ref="QUB33:QUI33"/>
    <mergeCell ref="QUJ33:QUQ33"/>
    <mergeCell ref="QUR33:QUY33"/>
    <mergeCell ref="QUZ33:QVG33"/>
    <mergeCell ref="QVH33:QVO33"/>
    <mergeCell ref="QVP33:QVW33"/>
    <mergeCell ref="QVX33:QWE33"/>
    <mergeCell ref="QWF33:QWM33"/>
    <mergeCell ref="QWN33:QWU33"/>
    <mergeCell ref="QWV33:QXC33"/>
    <mergeCell ref="QXD33:QXK33"/>
    <mergeCell ref="QXL33:QXS33"/>
    <mergeCell ref="QXT33:QYA33"/>
    <mergeCell ref="QYB33:QYI33"/>
    <mergeCell ref="QYJ33:QYQ33"/>
    <mergeCell ref="QYR33:QYY33"/>
    <mergeCell ref="QYZ33:QZG33"/>
    <mergeCell ref="QZH33:QZO33"/>
    <mergeCell ref="QZP33:QZW33"/>
    <mergeCell ref="QZX33:RAE33"/>
    <mergeCell ref="RAF33:RAM33"/>
    <mergeCell ref="RAN33:RAU33"/>
    <mergeCell ref="RAV33:RBC33"/>
    <mergeCell ref="RBD33:RBK33"/>
    <mergeCell ref="RBL33:RBS33"/>
    <mergeCell ref="RBT33:RCA33"/>
    <mergeCell ref="RCB33:RCI33"/>
    <mergeCell ref="RCJ33:RCQ33"/>
    <mergeCell ref="RCR33:RCY33"/>
    <mergeCell ref="RCZ33:RDG33"/>
    <mergeCell ref="RDH33:RDO33"/>
    <mergeCell ref="RDP33:RDW33"/>
    <mergeCell ref="RDX33:REE33"/>
    <mergeCell ref="REF33:REM33"/>
    <mergeCell ref="REN33:REU33"/>
    <mergeCell ref="REV33:RFC33"/>
    <mergeCell ref="RFD33:RFK33"/>
    <mergeCell ref="RFL33:RFS33"/>
    <mergeCell ref="RFT33:RGA33"/>
    <mergeCell ref="RGB33:RGI33"/>
    <mergeCell ref="RGJ33:RGQ33"/>
    <mergeCell ref="RGR33:RGY33"/>
    <mergeCell ref="RGZ33:RHG33"/>
    <mergeCell ref="RHH33:RHO33"/>
    <mergeCell ref="RHP33:RHW33"/>
    <mergeCell ref="RHX33:RIE33"/>
    <mergeCell ref="RIF33:RIM33"/>
    <mergeCell ref="RIN33:RIU33"/>
    <mergeCell ref="RIV33:RJC33"/>
    <mergeCell ref="RJD33:RJK33"/>
    <mergeCell ref="RJL33:RJS33"/>
    <mergeCell ref="RJT33:RKA33"/>
    <mergeCell ref="RKB33:RKI33"/>
    <mergeCell ref="RKJ33:RKQ33"/>
    <mergeCell ref="RKR33:RKY33"/>
    <mergeCell ref="RKZ33:RLG33"/>
    <mergeCell ref="RLH33:RLO33"/>
    <mergeCell ref="RLP33:RLW33"/>
    <mergeCell ref="RLX33:RME33"/>
    <mergeCell ref="RMF33:RMM33"/>
    <mergeCell ref="RMN33:RMU33"/>
    <mergeCell ref="RMV33:RNC33"/>
    <mergeCell ref="RND33:RNK33"/>
    <mergeCell ref="RNL33:RNS33"/>
    <mergeCell ref="RNT33:ROA33"/>
    <mergeCell ref="ROB33:ROI33"/>
    <mergeCell ref="ROJ33:ROQ33"/>
    <mergeCell ref="ROR33:ROY33"/>
    <mergeCell ref="ROZ33:RPG33"/>
    <mergeCell ref="RPH33:RPO33"/>
    <mergeCell ref="RPP33:RPW33"/>
    <mergeCell ref="RPX33:RQE33"/>
    <mergeCell ref="RQF33:RQM33"/>
    <mergeCell ref="RQN33:RQU33"/>
    <mergeCell ref="RQV33:RRC33"/>
    <mergeCell ref="RRD33:RRK33"/>
    <mergeCell ref="RRL33:RRS33"/>
    <mergeCell ref="RRT33:RSA33"/>
    <mergeCell ref="RSB33:RSI33"/>
    <mergeCell ref="RSJ33:RSQ33"/>
    <mergeCell ref="RSR33:RSY33"/>
    <mergeCell ref="RSZ33:RTG33"/>
    <mergeCell ref="RTH33:RTO33"/>
    <mergeCell ref="RTP33:RTW33"/>
    <mergeCell ref="RTX33:RUE33"/>
    <mergeCell ref="RUF33:RUM33"/>
    <mergeCell ref="RUN33:RUU33"/>
    <mergeCell ref="RUV33:RVC33"/>
    <mergeCell ref="RVD33:RVK33"/>
    <mergeCell ref="RVL33:RVS33"/>
    <mergeCell ref="RVT33:RWA33"/>
    <mergeCell ref="RWB33:RWI33"/>
    <mergeCell ref="RWJ33:RWQ33"/>
    <mergeCell ref="RWR33:RWY33"/>
    <mergeCell ref="RWZ33:RXG33"/>
    <mergeCell ref="RXH33:RXO33"/>
    <mergeCell ref="RXP33:RXW33"/>
    <mergeCell ref="RXX33:RYE33"/>
    <mergeCell ref="RYF33:RYM33"/>
    <mergeCell ref="RYN33:RYU33"/>
    <mergeCell ref="RYV33:RZC33"/>
    <mergeCell ref="RZD33:RZK33"/>
    <mergeCell ref="RZL33:RZS33"/>
    <mergeCell ref="RZT33:SAA33"/>
    <mergeCell ref="SAB33:SAI33"/>
    <mergeCell ref="SAJ33:SAQ33"/>
    <mergeCell ref="SAR33:SAY33"/>
    <mergeCell ref="SAZ33:SBG33"/>
    <mergeCell ref="SBH33:SBO33"/>
    <mergeCell ref="SBP33:SBW33"/>
    <mergeCell ref="SBX33:SCE33"/>
    <mergeCell ref="SCF33:SCM33"/>
    <mergeCell ref="SCN33:SCU33"/>
    <mergeCell ref="SCV33:SDC33"/>
    <mergeCell ref="SDD33:SDK33"/>
    <mergeCell ref="SDL33:SDS33"/>
    <mergeCell ref="SDT33:SEA33"/>
    <mergeCell ref="SEB33:SEI33"/>
    <mergeCell ref="SEJ33:SEQ33"/>
    <mergeCell ref="SER33:SEY33"/>
    <mergeCell ref="SEZ33:SFG33"/>
    <mergeCell ref="SFH33:SFO33"/>
    <mergeCell ref="SFP33:SFW33"/>
    <mergeCell ref="SFX33:SGE33"/>
    <mergeCell ref="SGF33:SGM33"/>
    <mergeCell ref="SGN33:SGU33"/>
    <mergeCell ref="SGV33:SHC33"/>
    <mergeCell ref="SHD33:SHK33"/>
    <mergeCell ref="SHL33:SHS33"/>
    <mergeCell ref="SHT33:SIA33"/>
    <mergeCell ref="SIB33:SII33"/>
    <mergeCell ref="SIJ33:SIQ33"/>
    <mergeCell ref="SIR33:SIY33"/>
    <mergeCell ref="SIZ33:SJG33"/>
    <mergeCell ref="SJH33:SJO33"/>
    <mergeCell ref="SJP33:SJW33"/>
    <mergeCell ref="SJX33:SKE33"/>
    <mergeCell ref="SKF33:SKM33"/>
    <mergeCell ref="SKN33:SKU33"/>
    <mergeCell ref="SKV33:SLC33"/>
    <mergeCell ref="SLD33:SLK33"/>
    <mergeCell ref="SLL33:SLS33"/>
    <mergeCell ref="SLT33:SMA33"/>
    <mergeCell ref="SMB33:SMI33"/>
    <mergeCell ref="SMJ33:SMQ33"/>
    <mergeCell ref="SMR33:SMY33"/>
    <mergeCell ref="SMZ33:SNG33"/>
    <mergeCell ref="SNH33:SNO33"/>
    <mergeCell ref="SNP33:SNW33"/>
    <mergeCell ref="SNX33:SOE33"/>
    <mergeCell ref="SOF33:SOM33"/>
    <mergeCell ref="SON33:SOU33"/>
    <mergeCell ref="SOV33:SPC33"/>
    <mergeCell ref="SPD33:SPK33"/>
    <mergeCell ref="SPL33:SPS33"/>
    <mergeCell ref="SPT33:SQA33"/>
    <mergeCell ref="SQB33:SQI33"/>
    <mergeCell ref="SQJ33:SQQ33"/>
    <mergeCell ref="SQR33:SQY33"/>
    <mergeCell ref="SQZ33:SRG33"/>
    <mergeCell ref="SRH33:SRO33"/>
    <mergeCell ref="SRP33:SRW33"/>
    <mergeCell ref="SRX33:SSE33"/>
    <mergeCell ref="SSF33:SSM33"/>
    <mergeCell ref="SSN33:SSU33"/>
    <mergeCell ref="SSV33:STC33"/>
    <mergeCell ref="STD33:STK33"/>
    <mergeCell ref="STL33:STS33"/>
    <mergeCell ref="STT33:SUA33"/>
    <mergeCell ref="SUB33:SUI33"/>
    <mergeCell ref="SUJ33:SUQ33"/>
    <mergeCell ref="SUR33:SUY33"/>
    <mergeCell ref="SUZ33:SVG33"/>
    <mergeCell ref="SVH33:SVO33"/>
    <mergeCell ref="SVP33:SVW33"/>
    <mergeCell ref="SVX33:SWE33"/>
    <mergeCell ref="SWF33:SWM33"/>
    <mergeCell ref="SWN33:SWU33"/>
    <mergeCell ref="SWV33:SXC33"/>
    <mergeCell ref="SXD33:SXK33"/>
    <mergeCell ref="SXL33:SXS33"/>
    <mergeCell ref="SXT33:SYA33"/>
    <mergeCell ref="SYB33:SYI33"/>
    <mergeCell ref="SYJ33:SYQ33"/>
    <mergeCell ref="SYR33:SYY33"/>
    <mergeCell ref="SYZ33:SZG33"/>
    <mergeCell ref="SZH33:SZO33"/>
    <mergeCell ref="SZP33:SZW33"/>
    <mergeCell ref="SZX33:TAE33"/>
    <mergeCell ref="TAF33:TAM33"/>
    <mergeCell ref="TAN33:TAU33"/>
    <mergeCell ref="TAV33:TBC33"/>
    <mergeCell ref="TBD33:TBK33"/>
    <mergeCell ref="TBL33:TBS33"/>
    <mergeCell ref="TBT33:TCA33"/>
    <mergeCell ref="TCB33:TCI33"/>
    <mergeCell ref="TCJ33:TCQ33"/>
    <mergeCell ref="TCR33:TCY33"/>
    <mergeCell ref="TCZ33:TDG33"/>
    <mergeCell ref="TDH33:TDO33"/>
    <mergeCell ref="TDP33:TDW33"/>
    <mergeCell ref="TDX33:TEE33"/>
    <mergeCell ref="TEF33:TEM33"/>
    <mergeCell ref="TEN33:TEU33"/>
    <mergeCell ref="TEV33:TFC33"/>
    <mergeCell ref="TFD33:TFK33"/>
    <mergeCell ref="TFL33:TFS33"/>
    <mergeCell ref="TFT33:TGA33"/>
    <mergeCell ref="TGB33:TGI33"/>
    <mergeCell ref="TGJ33:TGQ33"/>
    <mergeCell ref="TGR33:TGY33"/>
    <mergeCell ref="TGZ33:THG33"/>
    <mergeCell ref="THH33:THO33"/>
    <mergeCell ref="THP33:THW33"/>
    <mergeCell ref="THX33:TIE33"/>
    <mergeCell ref="TIF33:TIM33"/>
    <mergeCell ref="TIN33:TIU33"/>
    <mergeCell ref="TIV33:TJC33"/>
    <mergeCell ref="TJD33:TJK33"/>
    <mergeCell ref="TJL33:TJS33"/>
    <mergeCell ref="TJT33:TKA33"/>
    <mergeCell ref="TKB33:TKI33"/>
    <mergeCell ref="TKJ33:TKQ33"/>
    <mergeCell ref="TKR33:TKY33"/>
    <mergeCell ref="TKZ33:TLG33"/>
    <mergeCell ref="TLH33:TLO33"/>
    <mergeCell ref="TLP33:TLW33"/>
    <mergeCell ref="TLX33:TME33"/>
    <mergeCell ref="TMF33:TMM33"/>
    <mergeCell ref="TMN33:TMU33"/>
    <mergeCell ref="TMV33:TNC33"/>
    <mergeCell ref="TND33:TNK33"/>
    <mergeCell ref="TNL33:TNS33"/>
    <mergeCell ref="TNT33:TOA33"/>
    <mergeCell ref="TOB33:TOI33"/>
    <mergeCell ref="TOJ33:TOQ33"/>
    <mergeCell ref="TOR33:TOY33"/>
    <mergeCell ref="TOZ33:TPG33"/>
    <mergeCell ref="TPH33:TPO33"/>
    <mergeCell ref="TPP33:TPW33"/>
    <mergeCell ref="TPX33:TQE33"/>
    <mergeCell ref="TQF33:TQM33"/>
    <mergeCell ref="TQN33:TQU33"/>
    <mergeCell ref="TQV33:TRC33"/>
    <mergeCell ref="TRD33:TRK33"/>
    <mergeCell ref="TRL33:TRS33"/>
    <mergeCell ref="TRT33:TSA33"/>
    <mergeCell ref="TSB33:TSI33"/>
    <mergeCell ref="TSJ33:TSQ33"/>
    <mergeCell ref="TSR33:TSY33"/>
    <mergeCell ref="TSZ33:TTG33"/>
    <mergeCell ref="TTH33:TTO33"/>
    <mergeCell ref="TTP33:TTW33"/>
    <mergeCell ref="TTX33:TUE33"/>
    <mergeCell ref="TUF33:TUM33"/>
    <mergeCell ref="TUN33:TUU33"/>
    <mergeCell ref="TUV33:TVC33"/>
    <mergeCell ref="TVD33:TVK33"/>
    <mergeCell ref="TVL33:TVS33"/>
    <mergeCell ref="TVT33:TWA33"/>
    <mergeCell ref="TWB33:TWI33"/>
    <mergeCell ref="TWJ33:TWQ33"/>
    <mergeCell ref="TWR33:TWY33"/>
    <mergeCell ref="TWZ33:TXG33"/>
    <mergeCell ref="TXH33:TXO33"/>
    <mergeCell ref="TXP33:TXW33"/>
    <mergeCell ref="TXX33:TYE33"/>
    <mergeCell ref="TYF33:TYM33"/>
    <mergeCell ref="TYN33:TYU33"/>
    <mergeCell ref="TYV33:TZC33"/>
    <mergeCell ref="TZD33:TZK33"/>
    <mergeCell ref="TZL33:TZS33"/>
    <mergeCell ref="TZT33:UAA33"/>
    <mergeCell ref="UAB33:UAI33"/>
    <mergeCell ref="UAJ33:UAQ33"/>
    <mergeCell ref="UAR33:UAY33"/>
    <mergeCell ref="UAZ33:UBG33"/>
    <mergeCell ref="UBH33:UBO33"/>
    <mergeCell ref="UBP33:UBW33"/>
    <mergeCell ref="UBX33:UCE33"/>
    <mergeCell ref="UCF33:UCM33"/>
    <mergeCell ref="UCN33:UCU33"/>
    <mergeCell ref="UCV33:UDC33"/>
    <mergeCell ref="UDD33:UDK33"/>
    <mergeCell ref="UDL33:UDS33"/>
    <mergeCell ref="UDT33:UEA33"/>
    <mergeCell ref="UEB33:UEI33"/>
    <mergeCell ref="UEJ33:UEQ33"/>
    <mergeCell ref="UER33:UEY33"/>
    <mergeCell ref="UEZ33:UFG33"/>
    <mergeCell ref="UFH33:UFO33"/>
    <mergeCell ref="UFP33:UFW33"/>
    <mergeCell ref="UFX33:UGE33"/>
    <mergeCell ref="UGF33:UGM33"/>
    <mergeCell ref="UGN33:UGU33"/>
    <mergeCell ref="UGV33:UHC33"/>
    <mergeCell ref="UHD33:UHK33"/>
    <mergeCell ref="UHL33:UHS33"/>
    <mergeCell ref="UHT33:UIA33"/>
    <mergeCell ref="UIB33:UII33"/>
    <mergeCell ref="UIJ33:UIQ33"/>
    <mergeCell ref="UIR33:UIY33"/>
    <mergeCell ref="UIZ33:UJG33"/>
    <mergeCell ref="UJH33:UJO33"/>
    <mergeCell ref="UJP33:UJW33"/>
    <mergeCell ref="UJX33:UKE33"/>
    <mergeCell ref="UKF33:UKM33"/>
    <mergeCell ref="UKN33:UKU33"/>
    <mergeCell ref="UKV33:ULC33"/>
    <mergeCell ref="ULD33:ULK33"/>
    <mergeCell ref="ULL33:ULS33"/>
    <mergeCell ref="ULT33:UMA33"/>
    <mergeCell ref="UMB33:UMI33"/>
    <mergeCell ref="UMJ33:UMQ33"/>
    <mergeCell ref="UMR33:UMY33"/>
    <mergeCell ref="UMZ33:UNG33"/>
    <mergeCell ref="UNH33:UNO33"/>
    <mergeCell ref="UNP33:UNW33"/>
    <mergeCell ref="UNX33:UOE33"/>
    <mergeCell ref="UOF33:UOM33"/>
    <mergeCell ref="UON33:UOU33"/>
    <mergeCell ref="UOV33:UPC33"/>
    <mergeCell ref="UPD33:UPK33"/>
    <mergeCell ref="UPL33:UPS33"/>
    <mergeCell ref="UPT33:UQA33"/>
    <mergeCell ref="UQB33:UQI33"/>
    <mergeCell ref="UQJ33:UQQ33"/>
    <mergeCell ref="UQR33:UQY33"/>
    <mergeCell ref="UQZ33:URG33"/>
    <mergeCell ref="URH33:URO33"/>
    <mergeCell ref="URP33:URW33"/>
    <mergeCell ref="URX33:USE33"/>
    <mergeCell ref="USF33:USM33"/>
    <mergeCell ref="USN33:USU33"/>
    <mergeCell ref="USV33:UTC33"/>
    <mergeCell ref="UTD33:UTK33"/>
    <mergeCell ref="UTL33:UTS33"/>
    <mergeCell ref="UTT33:UUA33"/>
    <mergeCell ref="UUB33:UUI33"/>
    <mergeCell ref="UUJ33:UUQ33"/>
    <mergeCell ref="UUR33:UUY33"/>
    <mergeCell ref="UUZ33:UVG33"/>
    <mergeCell ref="UVH33:UVO33"/>
    <mergeCell ref="UVP33:UVW33"/>
    <mergeCell ref="UVX33:UWE33"/>
    <mergeCell ref="UWF33:UWM33"/>
    <mergeCell ref="UWN33:UWU33"/>
    <mergeCell ref="UWV33:UXC33"/>
    <mergeCell ref="UXD33:UXK33"/>
    <mergeCell ref="UXL33:UXS33"/>
    <mergeCell ref="UXT33:UYA33"/>
    <mergeCell ref="UYB33:UYI33"/>
    <mergeCell ref="UYJ33:UYQ33"/>
    <mergeCell ref="UYR33:UYY33"/>
    <mergeCell ref="UYZ33:UZG33"/>
    <mergeCell ref="UZH33:UZO33"/>
    <mergeCell ref="UZP33:UZW33"/>
    <mergeCell ref="UZX33:VAE33"/>
    <mergeCell ref="VAF33:VAM33"/>
    <mergeCell ref="VAN33:VAU33"/>
    <mergeCell ref="VAV33:VBC33"/>
    <mergeCell ref="VBD33:VBK33"/>
    <mergeCell ref="VBL33:VBS33"/>
    <mergeCell ref="VBT33:VCA33"/>
    <mergeCell ref="VCB33:VCI33"/>
    <mergeCell ref="VCJ33:VCQ33"/>
    <mergeCell ref="VCR33:VCY33"/>
    <mergeCell ref="VCZ33:VDG33"/>
    <mergeCell ref="VDH33:VDO33"/>
    <mergeCell ref="VDP33:VDW33"/>
    <mergeCell ref="VDX33:VEE33"/>
    <mergeCell ref="VEF33:VEM33"/>
    <mergeCell ref="VEN33:VEU33"/>
    <mergeCell ref="VEV33:VFC33"/>
    <mergeCell ref="VFD33:VFK33"/>
    <mergeCell ref="VFL33:VFS33"/>
    <mergeCell ref="VFT33:VGA33"/>
    <mergeCell ref="VGB33:VGI33"/>
    <mergeCell ref="VGJ33:VGQ33"/>
    <mergeCell ref="VGR33:VGY33"/>
    <mergeCell ref="VGZ33:VHG33"/>
    <mergeCell ref="VHH33:VHO33"/>
    <mergeCell ref="VHP33:VHW33"/>
    <mergeCell ref="VHX33:VIE33"/>
    <mergeCell ref="VIF33:VIM33"/>
    <mergeCell ref="VIN33:VIU33"/>
    <mergeCell ref="VIV33:VJC33"/>
    <mergeCell ref="VJD33:VJK33"/>
    <mergeCell ref="VJL33:VJS33"/>
    <mergeCell ref="VJT33:VKA33"/>
    <mergeCell ref="VKB33:VKI33"/>
    <mergeCell ref="VKJ33:VKQ33"/>
    <mergeCell ref="VKR33:VKY33"/>
    <mergeCell ref="VKZ33:VLG33"/>
    <mergeCell ref="VLH33:VLO33"/>
    <mergeCell ref="VLP33:VLW33"/>
    <mergeCell ref="VLX33:VME33"/>
    <mergeCell ref="VMF33:VMM33"/>
    <mergeCell ref="VMN33:VMU33"/>
    <mergeCell ref="VMV33:VNC33"/>
    <mergeCell ref="VND33:VNK33"/>
    <mergeCell ref="VNL33:VNS33"/>
    <mergeCell ref="VNT33:VOA33"/>
    <mergeCell ref="VOB33:VOI33"/>
    <mergeCell ref="VOJ33:VOQ33"/>
    <mergeCell ref="VOR33:VOY33"/>
    <mergeCell ref="VOZ33:VPG33"/>
    <mergeCell ref="VPH33:VPO33"/>
    <mergeCell ref="VPP33:VPW33"/>
    <mergeCell ref="VPX33:VQE33"/>
    <mergeCell ref="VQF33:VQM33"/>
    <mergeCell ref="VQN33:VQU33"/>
    <mergeCell ref="VQV33:VRC33"/>
    <mergeCell ref="VRD33:VRK33"/>
    <mergeCell ref="VRL33:VRS33"/>
    <mergeCell ref="VRT33:VSA33"/>
    <mergeCell ref="VSB33:VSI33"/>
    <mergeCell ref="VSJ33:VSQ33"/>
    <mergeCell ref="VSR33:VSY33"/>
    <mergeCell ref="VSZ33:VTG33"/>
    <mergeCell ref="VTH33:VTO33"/>
    <mergeCell ref="VTP33:VTW33"/>
    <mergeCell ref="VTX33:VUE33"/>
    <mergeCell ref="VUF33:VUM33"/>
    <mergeCell ref="VUN33:VUU33"/>
    <mergeCell ref="VUV33:VVC33"/>
    <mergeCell ref="VVD33:VVK33"/>
    <mergeCell ref="VVL33:VVS33"/>
    <mergeCell ref="VVT33:VWA33"/>
    <mergeCell ref="VWB33:VWI33"/>
    <mergeCell ref="VWJ33:VWQ33"/>
    <mergeCell ref="VWR33:VWY33"/>
    <mergeCell ref="VWZ33:VXG33"/>
    <mergeCell ref="VXH33:VXO33"/>
    <mergeCell ref="VXP33:VXW33"/>
    <mergeCell ref="VXX33:VYE33"/>
    <mergeCell ref="VYF33:VYM33"/>
    <mergeCell ref="VYN33:VYU33"/>
    <mergeCell ref="VYV33:VZC33"/>
    <mergeCell ref="VZD33:VZK33"/>
    <mergeCell ref="VZL33:VZS33"/>
    <mergeCell ref="VZT33:WAA33"/>
    <mergeCell ref="WAB33:WAI33"/>
    <mergeCell ref="WAJ33:WAQ33"/>
    <mergeCell ref="WAR33:WAY33"/>
    <mergeCell ref="WAZ33:WBG33"/>
    <mergeCell ref="WBH33:WBO33"/>
    <mergeCell ref="WBP33:WBW33"/>
    <mergeCell ref="WBX33:WCE33"/>
    <mergeCell ref="WCF33:WCM33"/>
    <mergeCell ref="WCN33:WCU33"/>
    <mergeCell ref="WCV33:WDC33"/>
    <mergeCell ref="WDD33:WDK33"/>
    <mergeCell ref="WDL33:WDS33"/>
    <mergeCell ref="WDT33:WEA33"/>
    <mergeCell ref="WEB33:WEI33"/>
    <mergeCell ref="WEJ33:WEQ33"/>
    <mergeCell ref="WER33:WEY33"/>
    <mergeCell ref="WEZ33:WFG33"/>
    <mergeCell ref="WFH33:WFO33"/>
    <mergeCell ref="WFP33:WFW33"/>
    <mergeCell ref="WFX33:WGE33"/>
    <mergeCell ref="WGF33:WGM33"/>
    <mergeCell ref="WGN33:WGU33"/>
    <mergeCell ref="WGV33:WHC33"/>
    <mergeCell ref="WHD33:WHK33"/>
    <mergeCell ref="WHL33:WHS33"/>
    <mergeCell ref="WHT33:WIA33"/>
    <mergeCell ref="WIB33:WII33"/>
    <mergeCell ref="WIJ33:WIQ33"/>
    <mergeCell ref="WIR33:WIY33"/>
    <mergeCell ref="WIZ33:WJG33"/>
    <mergeCell ref="WJH33:WJO33"/>
    <mergeCell ref="WJP33:WJW33"/>
    <mergeCell ref="WJX33:WKE33"/>
    <mergeCell ref="WKF33:WKM33"/>
    <mergeCell ref="WKN33:WKU33"/>
    <mergeCell ref="WKV33:WLC33"/>
    <mergeCell ref="WLD33:WLK33"/>
    <mergeCell ref="WLL33:WLS33"/>
    <mergeCell ref="WLT33:WMA33"/>
    <mergeCell ref="WMB33:WMI33"/>
    <mergeCell ref="WMJ33:WMQ33"/>
    <mergeCell ref="WMR33:WMY33"/>
    <mergeCell ref="WMZ33:WNG33"/>
    <mergeCell ref="WNH33:WNO33"/>
    <mergeCell ref="WNP33:WNW33"/>
    <mergeCell ref="WNX33:WOE33"/>
    <mergeCell ref="WOF33:WOM33"/>
    <mergeCell ref="WON33:WOU33"/>
    <mergeCell ref="WOV33:WPC33"/>
    <mergeCell ref="WPD33:WPK33"/>
    <mergeCell ref="WPL33:WPS33"/>
    <mergeCell ref="WPT33:WQA33"/>
    <mergeCell ref="WQB33:WQI33"/>
    <mergeCell ref="WQJ33:WQQ33"/>
    <mergeCell ref="WQR33:WQY33"/>
    <mergeCell ref="WQZ33:WRG33"/>
    <mergeCell ref="WRH33:WRO33"/>
    <mergeCell ref="WRP33:WRW33"/>
    <mergeCell ref="WRX33:WSE33"/>
    <mergeCell ref="WSF33:WSM33"/>
    <mergeCell ref="WSN33:WSU33"/>
    <mergeCell ref="WSV33:WTC33"/>
    <mergeCell ref="WTD33:WTK33"/>
    <mergeCell ref="WTL33:WTS33"/>
    <mergeCell ref="WTT33:WUA33"/>
    <mergeCell ref="WUB33:WUI33"/>
    <mergeCell ref="WUJ33:WUQ33"/>
    <mergeCell ref="WUR33:WUY33"/>
    <mergeCell ref="WUZ33:WVG33"/>
    <mergeCell ref="WVH33:WVO33"/>
    <mergeCell ref="WVP33:WVW33"/>
    <mergeCell ref="WVX33:WWE33"/>
    <mergeCell ref="WWF33:WWM33"/>
    <mergeCell ref="WWN33:WWU33"/>
    <mergeCell ref="WWV33:WXC33"/>
    <mergeCell ref="WXD33:WXK33"/>
    <mergeCell ref="WXL33:WXS33"/>
    <mergeCell ref="WXT33:WYA33"/>
    <mergeCell ref="WYB33:WYI33"/>
    <mergeCell ref="WYJ33:WYQ33"/>
    <mergeCell ref="WYR33:WYY33"/>
    <mergeCell ref="WYZ33:WZG33"/>
    <mergeCell ref="WZH33:WZO33"/>
    <mergeCell ref="WZP33:WZW33"/>
    <mergeCell ref="WZX33:XAE33"/>
    <mergeCell ref="XAF33:XAM33"/>
    <mergeCell ref="XAN33:XAU33"/>
    <mergeCell ref="XAV33:XBC33"/>
    <mergeCell ref="XBD33:XBK33"/>
    <mergeCell ref="XBL33:XBS33"/>
    <mergeCell ref="XBT33:XCA33"/>
    <mergeCell ref="XCB33:XCI33"/>
    <mergeCell ref="XCJ33:XCQ33"/>
    <mergeCell ref="XCR33:XCY33"/>
    <mergeCell ref="XCZ33:XDG33"/>
    <mergeCell ref="XDH33:XDO33"/>
    <mergeCell ref="XDP33:XDW33"/>
    <mergeCell ref="XDX33:XEE33"/>
    <mergeCell ref="XEF33:XEM33"/>
    <mergeCell ref="XEN33:XEU33"/>
    <mergeCell ref="XEV33:XFC33"/>
    <mergeCell ref="B43:B44"/>
    <mergeCell ref="C43:C44"/>
    <mergeCell ref="D43:D44"/>
    <mergeCell ref="E43:F44"/>
    <mergeCell ref="G43:H44"/>
    <mergeCell ref="B41:B42"/>
    <mergeCell ref="C41:C42"/>
    <mergeCell ref="D41:D42"/>
    <mergeCell ref="E41:F42"/>
    <mergeCell ref="G41:H42"/>
    <mergeCell ref="E34:F34"/>
    <mergeCell ref="G34:H34"/>
    <mergeCell ref="E35:F36"/>
    <mergeCell ref="A35:A36"/>
    <mergeCell ref="B35:B36"/>
    <mergeCell ref="C35:C36"/>
    <mergeCell ref="D35:D36"/>
    <mergeCell ref="G35:H36"/>
    <mergeCell ref="A37:A38"/>
    <mergeCell ref="B37:B38"/>
    <mergeCell ref="C37:C38"/>
    <mergeCell ref="D37:D38"/>
    <mergeCell ref="E37:F38"/>
    <mergeCell ref="G37:H38"/>
    <mergeCell ref="A39:A40"/>
    <mergeCell ref="B39:B40"/>
    <mergeCell ref="C39:C40"/>
    <mergeCell ref="D39:D40"/>
    <mergeCell ref="E39:F40"/>
    <mergeCell ref="G39:H40"/>
    <mergeCell ref="A41:A42"/>
    <mergeCell ref="A43:A44"/>
  </mergeCells>
  <conditionalFormatting sqref="F14">
    <cfRule type="expression" dxfId="0" priority="1">
      <formula>$F$14&lt;0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01_Overview_&amp;_Scope</vt:lpstr>
      <vt:lpstr>02_Assumptions</vt:lpstr>
      <vt:lpstr>03_Standard_Cost</vt:lpstr>
      <vt:lpstr>04_Actual_Production_&amp;_Costs</vt:lpstr>
      <vt:lpstr>05_Variance_Analysis</vt:lpstr>
      <vt:lpstr>06_Reconciliation_&amp;_Controls</vt:lpstr>
      <vt:lpstr>07_Management_Dashboard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Kumar Y</dc:creator>
  <cp:lastModifiedBy>Vaishnavi Y</cp:lastModifiedBy>
  <dcterms:created xsi:type="dcterms:W3CDTF">2026-10-22T08:52:56Z</dcterms:created>
  <dcterms:modified xsi:type="dcterms:W3CDTF">2026-10-27T01:52:22Z</dcterms:modified>
</cp:coreProperties>
</file>